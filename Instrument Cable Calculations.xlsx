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erry\source\repos\Drawing to instrument list translator\"/>
    </mc:Choice>
  </mc:AlternateContent>
  <xr:revisionPtr revIDLastSave="0" documentId="13_ncr:1_{577B8F01-823A-4F3E-B2D7-52E2BC2F4E02}" xr6:coauthVersionLast="47" xr6:coauthVersionMax="47" xr10:uidLastSave="{00000000-0000-0000-0000-000000000000}"/>
  <bookViews>
    <workbookView xWindow="-120" yWindow="-120" windowWidth="51840" windowHeight="21120" xr2:uid="{3CC1C9E8-65D5-4D60-9F33-BC4709FAB5D4}"/>
  </bookViews>
  <sheets>
    <sheet name="Instrumentation Cables" sheetId="5" r:id="rId1"/>
    <sheet name="Cables Tables" sheetId="2" r:id="rId2"/>
    <sheet name="Conduit Fittings" sheetId="8" r:id="rId3"/>
    <sheet name="Conduit Tables" sheetId="3" r:id="rId4"/>
    <sheet name="EPICOR ELECTRIC PARTS" sheetId="9" r:id="rId5"/>
  </sheets>
  <definedNames>
    <definedName name="_xlnm._FilterDatabase" localSheetId="4" hidden="1">'EPICOR ELECTRIC PARTS'!$A$1:$J$599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49" i="5" l="1" a="1"/>
  <c r="M49" i="5" s="1"/>
  <c r="M50" i="5" a="1"/>
  <c r="M50" i="5" s="1"/>
  <c r="M51" i="5" a="1"/>
  <c r="M51" i="5" s="1"/>
  <c r="M52" i="5" a="1"/>
  <c r="M52" i="5" s="1"/>
  <c r="M53" i="5" a="1"/>
  <c r="M53" i="5" s="1"/>
  <c r="M54" i="5" a="1"/>
  <c r="M54" i="5" s="1"/>
  <c r="M55" i="5" a="1"/>
  <c r="M55" i="5" s="1"/>
  <c r="R55" i="5" s="1" a="1"/>
  <c r="R55" i="5" s="1"/>
  <c r="M56" i="5" a="1"/>
  <c r="M56" i="5" s="1"/>
  <c r="M27" i="5" a="1"/>
  <c r="M27" i="5" s="1"/>
  <c r="N27" i="5" s="1" a="1"/>
  <c r="N27" i="5" s="1"/>
  <c r="M28" i="5" a="1"/>
  <c r="M28" i="5" s="1"/>
  <c r="N28" i="5" s="1" a="1"/>
  <c r="N28" i="5" s="1"/>
  <c r="M29" i="5" a="1"/>
  <c r="M29" i="5" s="1"/>
  <c r="N29" i="5" s="1" a="1"/>
  <c r="N29" i="5" s="1"/>
  <c r="M30" i="5" a="1"/>
  <c r="M30" i="5" s="1"/>
  <c r="N30" i="5" s="1" a="1"/>
  <c r="N30" i="5" s="1"/>
  <c r="M31" i="5" a="1"/>
  <c r="M31" i="5" s="1"/>
  <c r="N31" i="5" s="1" a="1"/>
  <c r="N31" i="5" s="1"/>
  <c r="M32" i="5" a="1"/>
  <c r="M32" i="5" s="1"/>
  <c r="N32" i="5" s="1" a="1"/>
  <c r="N32" i="5" s="1"/>
  <c r="M33" i="5" a="1"/>
  <c r="M33" i="5" s="1"/>
  <c r="N33" i="5" s="1" a="1"/>
  <c r="N33" i="5" s="1"/>
  <c r="M34" i="5" a="1"/>
  <c r="M34" i="5" s="1"/>
  <c r="N34" i="5" s="1" a="1"/>
  <c r="N34" i="5" s="1"/>
  <c r="M35" i="5" a="1"/>
  <c r="M35" i="5" s="1"/>
  <c r="N35" i="5" s="1" a="1"/>
  <c r="N35" i="5" s="1"/>
  <c r="M36" i="5" a="1"/>
  <c r="M36" i="5" s="1"/>
  <c r="O36" i="5" s="1" a="1"/>
  <c r="O36" i="5" s="1"/>
  <c r="M37" i="5" a="1"/>
  <c r="M37" i="5" s="1"/>
  <c r="O37" i="5" s="1" a="1"/>
  <c r="O37" i="5" s="1"/>
  <c r="M38" i="5" a="1"/>
  <c r="M38" i="5" s="1"/>
  <c r="O38" i="5" s="1" a="1"/>
  <c r="O38" i="5" s="1"/>
  <c r="M39" i="5" a="1"/>
  <c r="M39" i="5" s="1"/>
  <c r="O39" i="5" s="1" a="1"/>
  <c r="O39" i="5" s="1"/>
  <c r="M40" i="5" a="1"/>
  <c r="M40" i="5" s="1"/>
  <c r="O40" i="5" s="1" a="1"/>
  <c r="O40" i="5" s="1"/>
  <c r="M41" i="5" a="1"/>
  <c r="M41" i="5" s="1"/>
  <c r="O41" i="5" s="1" a="1"/>
  <c r="O41" i="5" s="1"/>
  <c r="M42" i="5" a="1"/>
  <c r="M42" i="5" s="1"/>
  <c r="N42" i="5" s="1" a="1"/>
  <c r="N42" i="5" s="1"/>
  <c r="M43" i="5" a="1"/>
  <c r="M43" i="5" s="1"/>
  <c r="N43" i="5" s="1" a="1"/>
  <c r="N43" i="5" s="1"/>
  <c r="M44" i="5" a="1"/>
  <c r="M44" i="5" s="1"/>
  <c r="N44" i="5" s="1" a="1"/>
  <c r="N44" i="5" s="1"/>
  <c r="M45" i="5" a="1"/>
  <c r="M45" i="5" s="1"/>
  <c r="N45" i="5" s="1" a="1"/>
  <c r="N45" i="5" s="1"/>
  <c r="M46" i="5" a="1"/>
  <c r="M46" i="5" s="1"/>
  <c r="N46" i="5" s="1" a="1"/>
  <c r="N46" i="5" s="1"/>
  <c r="M47" i="5" a="1"/>
  <c r="M47" i="5" s="1"/>
  <c r="N47" i="5" s="1" a="1"/>
  <c r="N47" i="5" s="1"/>
  <c r="M48" i="5" a="1"/>
  <c r="M48" i="5" s="1"/>
  <c r="N48" i="5" s="1" a="1"/>
  <c r="N48" i="5" s="1"/>
  <c r="M57" i="5" a="1"/>
  <c r="M57" i="5" s="1"/>
  <c r="N57" i="5" s="1"/>
  <c r="M58" i="5" a="1"/>
  <c r="M58" i="5" s="1"/>
  <c r="M59" i="5" a="1"/>
  <c r="M59" i="5" s="1"/>
  <c r="M60" i="5" a="1"/>
  <c r="M60" i="5" s="1"/>
  <c r="M61" i="5" a="1"/>
  <c r="M61" i="5" s="1"/>
  <c r="M62" i="5" a="1"/>
  <c r="M62" i="5" s="1"/>
  <c r="M63" i="5" a="1"/>
  <c r="M63" i="5" s="1"/>
  <c r="M64" i="5" a="1"/>
  <c r="M64" i="5" s="1"/>
  <c r="M65" i="5" a="1"/>
  <c r="M65" i="5" s="1"/>
  <c r="M66" i="5" a="1"/>
  <c r="M66" i="5" s="1"/>
  <c r="M67" i="5" a="1"/>
  <c r="M67" i="5" s="1"/>
  <c r="O67" i="5" s="1" a="1"/>
  <c r="O67" i="5" s="1"/>
  <c r="M68" i="5" a="1"/>
  <c r="M68" i="5" s="1"/>
  <c r="Q68" i="5" s="1" a="1"/>
  <c r="Q68" i="5" s="1"/>
  <c r="M69" i="5" a="1"/>
  <c r="M69" i="5" s="1"/>
  <c r="M70" i="5" a="1"/>
  <c r="M70" i="5" s="1"/>
  <c r="M71" i="5" a="1"/>
  <c r="M71" i="5" s="1"/>
  <c r="P71" i="5" s="1" a="1"/>
  <c r="P71" i="5" s="1"/>
  <c r="M72" i="5" a="1"/>
  <c r="M72" i="5" s="1"/>
  <c r="N72" i="5" s="1"/>
  <c r="M73" i="5" a="1"/>
  <c r="M73" i="5" s="1"/>
  <c r="N73" i="5" s="1"/>
  <c r="M74" i="5" a="1"/>
  <c r="M74" i="5" s="1"/>
  <c r="M75" i="5" a="1"/>
  <c r="M75" i="5" s="1"/>
  <c r="N75" i="5" s="1"/>
  <c r="M76" i="5" a="1"/>
  <c r="M76" i="5" s="1"/>
  <c r="M77" i="5" a="1"/>
  <c r="M77" i="5" s="1"/>
  <c r="P77" i="5" s="1" a="1"/>
  <c r="P77" i="5" s="1"/>
  <c r="M78" i="5" a="1"/>
  <c r="M78" i="5" s="1"/>
  <c r="M79" i="5" a="1"/>
  <c r="M79" i="5" s="1"/>
  <c r="M80" i="5" a="1"/>
  <c r="M80" i="5" s="1"/>
  <c r="P80" i="5" s="1" a="1"/>
  <c r="P80" i="5" s="1"/>
  <c r="M81" i="5" a="1"/>
  <c r="M81" i="5" s="1"/>
  <c r="M82" i="5" a="1"/>
  <c r="M82" i="5" s="1"/>
  <c r="N41" i="5" l="1" a="1"/>
  <c r="N41" i="5" s="1"/>
  <c r="P41" i="5" s="1" a="1"/>
  <c r="P41" i="5" s="1"/>
  <c r="O35" i="5" a="1"/>
  <c r="O35" i="5" s="1"/>
  <c r="R35" i="5" s="1" a="1"/>
  <c r="R35" i="5" s="1"/>
  <c r="N40" i="5" a="1"/>
  <c r="N40" i="5" s="1"/>
  <c r="O34" i="5" a="1"/>
  <c r="O34" i="5" s="1"/>
  <c r="N39" i="5" a="1"/>
  <c r="N39" i="5" s="1"/>
  <c r="O27" i="5" a="1"/>
  <c r="O27" i="5" s="1"/>
  <c r="O33" i="5" a="1"/>
  <c r="O33" i="5" s="1"/>
  <c r="R33" i="5" s="1" a="1"/>
  <c r="R33" i="5" s="1"/>
  <c r="N38" i="5" a="1"/>
  <c r="N38" i="5" s="1"/>
  <c r="O48" i="5" a="1"/>
  <c r="O48" i="5" s="1"/>
  <c r="Q48" i="5" s="1" a="1"/>
  <c r="Q48" i="5" s="1"/>
  <c r="O32" i="5" a="1"/>
  <c r="O32" i="5" s="1"/>
  <c r="N37" i="5" a="1"/>
  <c r="N37" i="5" s="1"/>
  <c r="O47" i="5" a="1"/>
  <c r="O47" i="5" s="1"/>
  <c r="P47" i="5" s="1" a="1"/>
  <c r="P47" i="5" s="1"/>
  <c r="O31" i="5" a="1"/>
  <c r="O31" i="5" s="1"/>
  <c r="P31" i="5" s="1" a="1"/>
  <c r="P31" i="5" s="1"/>
  <c r="N36" i="5" a="1"/>
  <c r="N36" i="5" s="1"/>
  <c r="P36" i="5" s="1" a="1"/>
  <c r="P36" i="5" s="1"/>
  <c r="O46" i="5" a="1"/>
  <c r="O46" i="5" s="1"/>
  <c r="O30" i="5" a="1"/>
  <c r="O30" i="5" s="1"/>
  <c r="O45" i="5" a="1"/>
  <c r="O45" i="5" s="1"/>
  <c r="P45" i="5" s="1" a="1"/>
  <c r="P45" i="5" s="1"/>
  <c r="O29" i="5" a="1"/>
  <c r="O29" i="5" s="1"/>
  <c r="O44" i="5" a="1"/>
  <c r="O44" i="5" s="1"/>
  <c r="O28" i="5" a="1"/>
  <c r="O28" i="5" s="1"/>
  <c r="P28" i="5" s="1" a="1"/>
  <c r="P28" i="5" s="1"/>
  <c r="O43" i="5" a="1"/>
  <c r="O43" i="5" s="1"/>
  <c r="O42" i="5" a="1"/>
  <c r="O42" i="5" s="1"/>
  <c r="O54" i="5" a="1"/>
  <c r="O54" i="5" s="1"/>
  <c r="N54" i="5"/>
  <c r="N50" i="5"/>
  <c r="O50" i="5" a="1"/>
  <c r="O50" i="5" s="1"/>
  <c r="P50" i="5" a="1"/>
  <c r="P50" i="5" s="1"/>
  <c r="R52" i="5" a="1"/>
  <c r="R52" i="5" s="1"/>
  <c r="O52" i="5" a="1"/>
  <c r="O52" i="5" s="1"/>
  <c r="P52" i="5" a="1"/>
  <c r="P52" i="5" s="1"/>
  <c r="P49" i="5" a="1"/>
  <c r="P49" i="5" s="1"/>
  <c r="Q49" i="5" a="1"/>
  <c r="Q49" i="5" s="1"/>
  <c r="N49" i="5"/>
  <c r="O49" i="5" a="1"/>
  <c r="O49" i="5" s="1"/>
  <c r="R49" i="5" a="1"/>
  <c r="R49" i="5" s="1"/>
  <c r="P51" i="5" a="1"/>
  <c r="P51" i="5" s="1"/>
  <c r="N51" i="5"/>
  <c r="O51" i="5" a="1"/>
  <c r="O51" i="5" s="1"/>
  <c r="N52" i="5"/>
  <c r="R50" i="5" a="1"/>
  <c r="R50" i="5" s="1"/>
  <c r="Q50" i="5" a="1"/>
  <c r="Q50" i="5" s="1"/>
  <c r="Q52" i="5" a="1"/>
  <c r="Q52" i="5" s="1"/>
  <c r="R53" i="5" a="1"/>
  <c r="R53" i="5" s="1"/>
  <c r="P53" i="5" a="1"/>
  <c r="P53" i="5" s="1"/>
  <c r="N53" i="5"/>
  <c r="O53" i="5" a="1"/>
  <c r="O53" i="5" s="1"/>
  <c r="Q53" i="5" a="1"/>
  <c r="Q53" i="5" s="1"/>
  <c r="R54" i="5" a="1"/>
  <c r="R54" i="5" s="1"/>
  <c r="R51" i="5" a="1"/>
  <c r="R51" i="5" s="1"/>
  <c r="Q54" i="5" a="1"/>
  <c r="Q54" i="5" s="1"/>
  <c r="Q51" i="5" a="1"/>
  <c r="Q51" i="5" s="1"/>
  <c r="P54" i="5" a="1"/>
  <c r="P54" i="5" s="1"/>
  <c r="R60" i="5" a="1"/>
  <c r="R60" i="5" s="1"/>
  <c r="N60" i="5"/>
  <c r="R78" i="5" a="1"/>
  <c r="R78" i="5" s="1"/>
  <c r="N78" i="5"/>
  <c r="R63" i="5" a="1"/>
  <c r="R63" i="5" s="1"/>
  <c r="N63" i="5"/>
  <c r="P63" i="5" a="1"/>
  <c r="P63" i="5" s="1"/>
  <c r="O63" i="5" a="1"/>
  <c r="O63" i="5" s="1"/>
  <c r="P66" i="5" a="1"/>
  <c r="P66" i="5" s="1"/>
  <c r="N66" i="5"/>
  <c r="P61" i="5" a="1"/>
  <c r="P61" i="5" s="1"/>
  <c r="N61" i="5"/>
  <c r="N74" i="5"/>
  <c r="O74" i="5" a="1"/>
  <c r="O74" i="5" s="1"/>
  <c r="P74" i="5" a="1"/>
  <c r="P74" i="5" s="1"/>
  <c r="Q74" i="5" a="1"/>
  <c r="Q74" i="5" s="1"/>
  <c r="R74" i="5" a="1"/>
  <c r="R74" i="5" s="1"/>
  <c r="P60" i="5" a="1"/>
  <c r="P60" i="5" s="1"/>
  <c r="O60" i="5" a="1"/>
  <c r="O60" i="5" s="1"/>
  <c r="N77" i="5"/>
  <c r="R71" i="5" a="1"/>
  <c r="R71" i="5" s="1"/>
  <c r="P55" i="5" a="1"/>
  <c r="P55" i="5" s="1"/>
  <c r="R79" i="5" a="1"/>
  <c r="R79" i="5" s="1"/>
  <c r="O79" i="5" a="1"/>
  <c r="O79" i="5" s="1"/>
  <c r="P79" i="5" a="1"/>
  <c r="P79" i="5" s="1"/>
  <c r="N79" i="5"/>
  <c r="P64" i="5" a="1"/>
  <c r="P64" i="5" s="1"/>
  <c r="R64" i="5" a="1"/>
  <c r="R64" i="5" s="1"/>
  <c r="O64" i="5" a="1"/>
  <c r="O64" i="5" s="1"/>
  <c r="Q64" i="5" a="1"/>
  <c r="Q64" i="5" s="1"/>
  <c r="N64" i="5"/>
  <c r="O77" i="5" a="1"/>
  <c r="O77" i="5" s="1"/>
  <c r="R61" i="5" a="1"/>
  <c r="R61" i="5" s="1"/>
  <c r="P73" i="5" a="1"/>
  <c r="P73" i="5" s="1"/>
  <c r="Q61" i="5" a="1"/>
  <c r="Q61" i="5" s="1"/>
  <c r="Q57" i="5" a="1"/>
  <c r="Q57" i="5" s="1"/>
  <c r="O80" i="5" a="1"/>
  <c r="O80" i="5" s="1"/>
  <c r="N80" i="5"/>
  <c r="O61" i="5" a="1"/>
  <c r="O61" i="5" s="1"/>
  <c r="P57" i="5" a="1"/>
  <c r="P57" i="5" s="1"/>
  <c r="R76" i="5" a="1"/>
  <c r="R76" i="5" s="1"/>
  <c r="N76" i="5"/>
  <c r="O76" i="5" a="1"/>
  <c r="O76" i="5" s="1"/>
  <c r="Q76" i="5" a="1"/>
  <c r="Q76" i="5" s="1"/>
  <c r="P76" i="5" a="1"/>
  <c r="P76" i="5" s="1"/>
  <c r="N59" i="5"/>
  <c r="R59" i="5" a="1"/>
  <c r="R59" i="5" s="1"/>
  <c r="O59" i="5" a="1"/>
  <c r="O59" i="5" s="1"/>
  <c r="Q58" i="5" a="1"/>
  <c r="Q58" i="5" s="1"/>
  <c r="N58" i="5"/>
  <c r="R58" i="5" a="1"/>
  <c r="R58" i="5" s="1"/>
  <c r="O58" i="5" a="1"/>
  <c r="O58" i="5" s="1"/>
  <c r="P58" i="5" a="1"/>
  <c r="P58" i="5" s="1"/>
  <c r="R80" i="5" a="1"/>
  <c r="R80" i="5" s="1"/>
  <c r="Q80" i="5" a="1"/>
  <c r="Q80" i="5" s="1"/>
  <c r="R77" i="5" a="1"/>
  <c r="R77" i="5" s="1"/>
  <c r="O72" i="5" a="1"/>
  <c r="O72" i="5" s="1"/>
  <c r="P67" i="5" a="1"/>
  <c r="P67" i="5" s="1"/>
  <c r="Q63" i="5" a="1"/>
  <c r="Q63" i="5" s="1"/>
  <c r="R67" i="5" a="1"/>
  <c r="R67" i="5" s="1"/>
  <c r="Q67" i="5" a="1"/>
  <c r="Q67" i="5" s="1"/>
  <c r="Q77" i="5" a="1"/>
  <c r="Q77" i="5" s="1"/>
  <c r="N67" i="5"/>
  <c r="Q60" i="5" a="1"/>
  <c r="Q60" i="5" s="1"/>
  <c r="N70" i="5"/>
  <c r="O70" i="5" a="1"/>
  <c r="O70" i="5" s="1"/>
  <c r="R70" i="5" a="1"/>
  <c r="R70" i="5" s="1"/>
  <c r="Q70" i="5" a="1"/>
  <c r="Q70" i="5" s="1"/>
  <c r="P70" i="5" a="1"/>
  <c r="P70" i="5" s="1"/>
  <c r="Q82" i="5" a="1"/>
  <c r="Q82" i="5" s="1"/>
  <c r="R82" i="5" a="1"/>
  <c r="R82" i="5" s="1"/>
  <c r="N82" i="5"/>
  <c r="O82" i="5" a="1"/>
  <c r="O82" i="5" s="1"/>
  <c r="P82" i="5" a="1"/>
  <c r="P82" i="5" s="1"/>
  <c r="N81" i="5"/>
  <c r="O81" i="5" a="1"/>
  <c r="O81" i="5" s="1"/>
  <c r="P81" i="5" a="1"/>
  <c r="P81" i="5" s="1"/>
  <c r="R81" i="5" a="1"/>
  <c r="R81" i="5" s="1"/>
  <c r="Q81" i="5" a="1"/>
  <c r="Q81" i="5" s="1"/>
  <c r="P56" i="5" a="1"/>
  <c r="P56" i="5" s="1"/>
  <c r="Q56" i="5" a="1"/>
  <c r="Q56" i="5" s="1"/>
  <c r="R56" i="5" a="1"/>
  <c r="R56" i="5" s="1"/>
  <c r="O56" i="5" a="1"/>
  <c r="O56" i="5" s="1"/>
  <c r="N56" i="5"/>
  <c r="N65" i="5"/>
  <c r="P65" i="5" a="1"/>
  <c r="P65" i="5" s="1"/>
  <c r="O65" i="5" a="1"/>
  <c r="O65" i="5" s="1"/>
  <c r="R65" i="5" a="1"/>
  <c r="R65" i="5" s="1"/>
  <c r="Q65" i="5" a="1"/>
  <c r="Q65" i="5" s="1"/>
  <c r="R69" i="5" a="1"/>
  <c r="R69" i="5" s="1"/>
  <c r="Q69" i="5" a="1"/>
  <c r="Q69" i="5" s="1"/>
  <c r="N69" i="5"/>
  <c r="P69" i="5" a="1"/>
  <c r="P69" i="5" s="1"/>
  <c r="O69" i="5" a="1"/>
  <c r="O69" i="5" s="1"/>
  <c r="O62" i="5" a="1"/>
  <c r="O62" i="5" s="1"/>
  <c r="Q62" i="5" a="1"/>
  <c r="Q62" i="5" s="1"/>
  <c r="P62" i="5" a="1"/>
  <c r="P62" i="5" s="1"/>
  <c r="R62" i="5" a="1"/>
  <c r="R62" i="5" s="1"/>
  <c r="N62" i="5"/>
  <c r="O57" i="5" a="1"/>
  <c r="O57" i="5" s="1"/>
  <c r="N68" i="5"/>
  <c r="O68" i="5" a="1"/>
  <c r="O68" i="5" s="1"/>
  <c r="P68" i="5" a="1"/>
  <c r="P68" i="5" s="1"/>
  <c r="R68" i="5" a="1"/>
  <c r="R68" i="5" s="1"/>
  <c r="P59" i="5" a="1"/>
  <c r="P59" i="5" s="1"/>
  <c r="Q59" i="5" a="1"/>
  <c r="Q59" i="5" s="1"/>
  <c r="R73" i="5" a="1"/>
  <c r="R73" i="5" s="1"/>
  <c r="P72" i="5" a="1"/>
  <c r="P72" i="5" s="1"/>
  <c r="Q72" i="5" a="1"/>
  <c r="Q72" i="5" s="1"/>
  <c r="R72" i="5" a="1"/>
  <c r="R72" i="5" s="1"/>
  <c r="Q75" i="5" a="1"/>
  <c r="Q75" i="5" s="1"/>
  <c r="P75" i="5" a="1"/>
  <c r="P75" i="5" s="1"/>
  <c r="Q66" i="5" a="1"/>
  <c r="Q66" i="5" s="1"/>
  <c r="R66" i="5" a="1"/>
  <c r="R66" i="5" s="1"/>
  <c r="N55" i="5"/>
  <c r="O55" i="5" a="1"/>
  <c r="O55" i="5" s="1"/>
  <c r="Q55" i="5" a="1"/>
  <c r="Q55" i="5" s="1"/>
  <c r="O73" i="5" a="1"/>
  <c r="O73" i="5" s="1"/>
  <c r="O78" i="5" a="1"/>
  <c r="O78" i="5" s="1"/>
  <c r="Q78" i="5" a="1"/>
  <c r="Q78" i="5" s="1"/>
  <c r="P78" i="5" a="1"/>
  <c r="P78" i="5" s="1"/>
  <c r="Q79" i="5" a="1"/>
  <c r="Q79" i="5" s="1"/>
  <c r="R75" i="5" a="1"/>
  <c r="R75" i="5" s="1"/>
  <c r="O75" i="5" a="1"/>
  <c r="O75" i="5" s="1"/>
  <c r="Q73" i="5" a="1"/>
  <c r="Q73" i="5" s="1"/>
  <c r="O71" i="5" a="1"/>
  <c r="O71" i="5" s="1"/>
  <c r="N71" i="5"/>
  <c r="Q71" i="5" a="1"/>
  <c r="Q71" i="5" s="1"/>
  <c r="O66" i="5" a="1"/>
  <c r="O66" i="5" s="1"/>
  <c r="R57" i="5" a="1"/>
  <c r="R57" i="5" s="1"/>
  <c r="Q37" i="5" l="1" a="1"/>
  <c r="Q37" i="5" s="1"/>
  <c r="Q44" i="5" a="1"/>
  <c r="Q44" i="5" s="1"/>
  <c r="R40" i="5" a="1"/>
  <c r="R40" i="5" s="1"/>
  <c r="P48" i="5" a="1"/>
  <c r="P48" i="5" s="1"/>
  <c r="R39" i="5" a="1"/>
  <c r="R39" i="5" s="1"/>
  <c r="P32" i="5" a="1"/>
  <c r="P32" i="5" s="1"/>
  <c r="R48" i="5" a="1"/>
  <c r="R48" i="5" s="1"/>
  <c r="P46" i="5" a="1"/>
  <c r="P46" i="5" s="1"/>
  <c r="P44" i="5" a="1"/>
  <c r="P44" i="5" s="1"/>
  <c r="R44" i="5" a="1"/>
  <c r="R44" i="5" s="1"/>
  <c r="P27" i="5" a="1"/>
  <c r="P27" i="5" s="1"/>
  <c r="Q32" i="5" a="1"/>
  <c r="Q32" i="5" s="1"/>
  <c r="Q33" i="5" a="1"/>
  <c r="Q33" i="5" s="1"/>
  <c r="Q31" i="5" a="1"/>
  <c r="Q31" i="5" s="1"/>
  <c r="R31" i="5" a="1"/>
  <c r="R31" i="5" s="1"/>
  <c r="R46" i="5" a="1"/>
  <c r="R46" i="5" s="1"/>
  <c r="Q35" i="5" a="1"/>
  <c r="Q35" i="5" s="1"/>
  <c r="Q46" i="5" a="1"/>
  <c r="Q46" i="5" s="1"/>
  <c r="Q47" i="5" a="1"/>
  <c r="Q47" i="5" s="1"/>
  <c r="R32" i="5" a="1"/>
  <c r="R32" i="5" s="1"/>
  <c r="P33" i="5" a="1"/>
  <c r="P33" i="5" s="1"/>
  <c r="P35" i="5" a="1"/>
  <c r="P35" i="5" s="1"/>
  <c r="R30" i="5" a="1"/>
  <c r="R30" i="5" s="1"/>
  <c r="R37" i="5" a="1"/>
  <c r="R37" i="5" s="1"/>
  <c r="Q39" i="5" a="1"/>
  <c r="Q39" i="5" s="1"/>
  <c r="P39" i="5" a="1"/>
  <c r="P39" i="5" s="1"/>
  <c r="Q41" i="5" a="1"/>
  <c r="Q41" i="5" s="1"/>
  <c r="Q38" i="5" a="1"/>
  <c r="Q38" i="5" s="1"/>
  <c r="R27" i="5" a="1"/>
  <c r="R27" i="5" s="1"/>
  <c r="R41" i="5" a="1"/>
  <c r="R41" i="5" s="1"/>
  <c r="Q40" i="5" a="1"/>
  <c r="Q40" i="5" s="1"/>
  <c r="Q45" i="5" a="1"/>
  <c r="Q45" i="5" s="1"/>
  <c r="R45" i="5" a="1"/>
  <c r="R45" i="5" s="1"/>
  <c r="R47" i="5" a="1"/>
  <c r="R47" i="5" s="1"/>
  <c r="P34" i="5" a="1"/>
  <c r="P34" i="5" s="1"/>
  <c r="Q27" i="5" a="1"/>
  <c r="Q27" i="5" s="1"/>
  <c r="R28" i="5" a="1"/>
  <c r="R28" i="5" s="1"/>
  <c r="P40" i="5" a="1"/>
  <c r="P40" i="5" s="1"/>
  <c r="R43" i="5" a="1"/>
  <c r="R43" i="5" s="1"/>
  <c r="Q30" i="5" a="1"/>
  <c r="Q30" i="5" s="1"/>
  <c r="Q28" i="5" a="1"/>
  <c r="Q28" i="5" s="1"/>
  <c r="P38" i="5" a="1"/>
  <c r="P38" i="5" s="1"/>
  <c r="P37" i="5" a="1"/>
  <c r="P37" i="5" s="1"/>
  <c r="Q42" i="5" a="1"/>
  <c r="Q42" i="5" s="1"/>
  <c r="R42" i="5" a="1"/>
  <c r="R42" i="5" s="1"/>
  <c r="P42" i="5" a="1"/>
  <c r="P42" i="5" s="1"/>
  <c r="R34" i="5" a="1"/>
  <c r="R34" i="5" s="1"/>
  <c r="R38" i="5" a="1"/>
  <c r="R38" i="5" s="1"/>
  <c r="Q43" i="5" a="1"/>
  <c r="Q43" i="5" s="1"/>
  <c r="Q34" i="5" a="1"/>
  <c r="Q34" i="5" s="1"/>
  <c r="P43" i="5" a="1"/>
  <c r="P43" i="5" s="1"/>
  <c r="P29" i="5" a="1"/>
  <c r="P29" i="5" s="1"/>
  <c r="R29" i="5" a="1"/>
  <c r="R29" i="5" s="1"/>
  <c r="Q29" i="5" a="1"/>
  <c r="Q29" i="5" s="1"/>
  <c r="Q36" i="5" a="1"/>
  <c r="Q36" i="5" s="1"/>
  <c r="R36" i="5" a="1"/>
  <c r="R36" i="5" s="1"/>
  <c r="P30" i="5" a="1"/>
  <c r="P30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<sst xmlns="http://schemas.openxmlformats.org/spreadsheetml/2006/main" count="4134" uniqueCount="1388">
  <si>
    <t>Voltage</t>
  </si>
  <si>
    <t>Ambient Temperature</t>
  </si>
  <si>
    <t>(°C)</t>
  </si>
  <si>
    <t>Temperature Rating of Conductor</t>
  </si>
  <si>
    <t>(°F)</t>
  </si>
  <si>
    <t>60°C</t>
  </si>
  <si>
    <t>75°C</t>
  </si>
  <si>
    <t>90°C</t>
  </si>
  <si>
    <t>10 or less</t>
  </si>
  <si>
    <t>50 or less</t>
  </si>
  <si>
    <t>11–15</t>
  </si>
  <si>
    <t>51–59</t>
  </si>
  <si>
    <t>16–20</t>
  </si>
  <si>
    <t>60–68</t>
  </si>
  <si>
    <t>21–25</t>
  </si>
  <si>
    <t>69–77</t>
  </si>
  <si>
    <t>26–30</t>
  </si>
  <si>
    <t>78–86</t>
  </si>
  <si>
    <t>31–35</t>
  </si>
  <si>
    <t>87–95</t>
  </si>
  <si>
    <t>36–40</t>
  </si>
  <si>
    <t>96–104</t>
  </si>
  <si>
    <t>41–45</t>
  </si>
  <si>
    <t>105–113</t>
  </si>
  <si>
    <t>46–50</t>
  </si>
  <si>
    <t>114–122</t>
  </si>
  <si>
    <t>51–55</t>
  </si>
  <si>
    <t>123–131</t>
  </si>
  <si>
    <t>56–60</t>
  </si>
  <si>
    <t>—</t>
  </si>
  <si>
    <t>132–140</t>
  </si>
  <si>
    <t>61–65</t>
  </si>
  <si>
    <t>141–149</t>
  </si>
  <si>
    <t>66–70</t>
  </si>
  <si>
    <t>150–158</t>
  </si>
  <si>
    <t>71–75</t>
  </si>
  <si>
    <t>159–167</t>
  </si>
  <si>
    <t>76–80</t>
  </si>
  <si>
    <t>168–176</t>
  </si>
  <si>
    <t>81–85</t>
  </si>
  <si>
    <t>177–185</t>
  </si>
  <si>
    <t>NEC Table 310.15(B)(2)(a) </t>
  </si>
  <si>
    <t>Percent of Values in Table 310.15(B)(16) through Table 310.15(B)(19) as Adjusted for Ambient Temperature if Necessary</t>
  </si>
  <si>
    <t>4—6</t>
  </si>
  <si>
    <t>7—9</t>
  </si>
  <si>
    <t>10—20</t>
  </si>
  <si>
    <t>21—30</t>
  </si>
  <si>
    <t>31—40</t>
  </si>
  <si>
    <t>41 and above</t>
  </si>
  <si>
    <t>Number of Conductors</t>
  </si>
  <si>
    <t>Rating</t>
  </si>
  <si>
    <t>Common Insulation Types</t>
  </si>
  <si>
    <t>TW, UF</t>
  </si>
  <si>
    <t>THW, THWN, RHW, XHHW (wet)</t>
  </si>
  <si>
    <t>THHN, THWN-2, XHHW-2, USE-2</t>
  </si>
  <si>
    <t>Size</t>
  </si>
  <si>
    <t>Copper Conductors</t>
  </si>
  <si>
    <t>Aluminum Conductors</t>
  </si>
  <si>
    <t>AWG/kcmil</t>
  </si>
  <si>
    <t>18 AWG</t>
  </si>
  <si>
    <t>16 AWG</t>
  </si>
  <si>
    <t>14 AWG</t>
  </si>
  <si>
    <t>12 AWG</t>
  </si>
  <si>
    <t>10 AWG</t>
  </si>
  <si>
    <t>8 AWG</t>
  </si>
  <si>
    <t>6 AWG</t>
  </si>
  <si>
    <t>4 AWG</t>
  </si>
  <si>
    <t>3 AWG</t>
  </si>
  <si>
    <t>2 AWG</t>
  </si>
  <si>
    <t>1 AWG</t>
  </si>
  <si>
    <t>1/0 AWG</t>
  </si>
  <si>
    <t>2/0 AWG</t>
  </si>
  <si>
    <t>3/0 AWG</t>
  </si>
  <si>
    <t>4/0 AWG</t>
  </si>
  <si>
    <t>250 kcmil</t>
  </si>
  <si>
    <t>300 kcmil</t>
  </si>
  <si>
    <t>350 kcmil</t>
  </si>
  <si>
    <t>400 kcmil</t>
  </si>
  <si>
    <t>500 kcmil</t>
  </si>
  <si>
    <t>600 kcmil</t>
  </si>
  <si>
    <t>700 kcmil</t>
  </si>
  <si>
    <t>750 kcmil</t>
  </si>
  <si>
    <t>800 kcmil</t>
  </si>
  <si>
    <t>900 kcmil</t>
  </si>
  <si>
    <t>1000 kcmil</t>
  </si>
  <si>
    <t>1250 kcmil</t>
  </si>
  <si>
    <t>1500 kcmil</t>
  </si>
  <si>
    <t>1750 kcmil</t>
  </si>
  <si>
    <t>2000 kcmil</t>
  </si>
  <si>
    <t>Metric Designator</t>
  </si>
  <si>
    <t>Trade Size</t>
  </si>
  <si>
    <t>Over 2 Wires 40% mm²</t>
  </si>
  <si>
    <t>Over 2 Wires 40% in.²</t>
  </si>
  <si>
    <t>1 Wire 60% mm²</t>
  </si>
  <si>
    <t>1 Wire 60% in.²</t>
  </si>
  <si>
    <t>1 Wire 53% mm²</t>
  </si>
  <si>
    <t>1 Wire 53% in.²</t>
  </si>
  <si>
    <t>2 Wires 31% mm²</t>
  </si>
  <si>
    <t>2 Wires 31% in.²</t>
  </si>
  <si>
    <t>Nominal Internal Diameter mm</t>
  </si>
  <si>
    <t>Nominal Internal Diameter in.</t>
  </si>
  <si>
    <t>Total Area 100% mm²</t>
  </si>
  <si>
    <t>Total Area 100% in.²</t>
  </si>
  <si>
    <t>⅜</t>
  </si>
  <si>
    <t>½</t>
  </si>
  <si>
    <t>¾</t>
  </si>
  <si>
    <t>1¼</t>
  </si>
  <si>
    <t>1½</t>
  </si>
  <si>
    <t>2½</t>
  </si>
  <si>
    <t>3½</t>
  </si>
  <si>
    <t>Article 344 - Rigid Metal Conduit</t>
  </si>
  <si>
    <t>Over 2 Wires 40% (mm²)</t>
  </si>
  <si>
    <t>Over 2 Wires 40% (in²)</t>
  </si>
  <si>
    <t>60% (mm²)</t>
  </si>
  <si>
    <t>60% (in²)</t>
  </si>
  <si>
    <t>1 Wire 53% (mm²)</t>
  </si>
  <si>
    <t>1 Wire 53% (in²)</t>
  </si>
  <si>
    <t>2 Wires 31% (mm²)</t>
  </si>
  <si>
    <t>2 Wires 31% (in²)</t>
  </si>
  <si>
    <t>Nominal ID (mm)</t>
  </si>
  <si>
    <t>Nominal ID (in)</t>
  </si>
  <si>
    <t>Total Area 100% (mm²)</t>
  </si>
  <si>
    <t>Total Area 100% (in²)</t>
  </si>
  <si>
    <t>3/8</t>
  </si>
  <si>
    <t>1/2</t>
  </si>
  <si>
    <t>3/4</t>
  </si>
  <si>
    <t>1</t>
  </si>
  <si>
    <t>1 1/4</t>
  </si>
  <si>
    <t>1 1/2</t>
  </si>
  <si>
    <t>2</t>
  </si>
  <si>
    <t>Article 356 - Liquidtight Flexible Nonmetallic Conduit</t>
  </si>
  <si>
    <t>2 1/2</t>
  </si>
  <si>
    <t>3</t>
  </si>
  <si>
    <t>Article 348 - Flexible Metal Conduit</t>
  </si>
  <si>
    <t>Type</t>
  </si>
  <si>
    <t>Size (AWG/kcmil)</t>
  </si>
  <si>
    <t>Area mm^2</t>
  </si>
  <si>
    <t>Area in^2</t>
  </si>
  <si>
    <t>Diameter mm</t>
  </si>
  <si>
    <t>Diameter in</t>
  </si>
  <si>
    <t>TF, TFN, XF, XFF</t>
  </si>
  <si>
    <t>TW, XF, XFF, THHW, THW, THW-2</t>
  </si>
  <si>
    <t>TW, THHW, THW, THW-2</t>
  </si>
  <si>
    <t>RHH*, RHW*, RHW-2*</t>
  </si>
  <si>
    <t>RH*, RHW*, XHHW*, XHHW-2*, THHN, THHW, THW, THW-2, TFN, TFFN, THWN, THWN-2, XF, XFF</t>
  </si>
  <si>
    <t>TFN, TFFN</t>
  </si>
  <si>
    <t>THHN, THWN, THWN-2</t>
  </si>
  <si>
    <t>RHH, RHW, RHW-2</t>
  </si>
  <si>
    <t>SF-2, SFF-2</t>
  </si>
  <si>
    <t>SF-1, SFF-1</t>
  </si>
  <si>
    <t>RHH-1, TF, TFN, XF, XFF</t>
  </si>
  <si>
    <t>PF, PGF, PFE, PFF, PTF, PAF, PTFE, PAFF</t>
  </si>
  <si>
    <t>TFE, FEP, PFA, PFF, PF, PAF, PEH, PAFH</t>
  </si>
  <si>
    <t>TFE, PFAH, PFA</t>
  </si>
  <si>
    <t>TFE, PFA, PFAH, Z</t>
  </si>
  <si>
    <t>ZF, ZFF, ZHF</t>
  </si>
  <si>
    <t>Z, ZF, ZFF, ZHF</t>
  </si>
  <si>
    <t>Z</t>
  </si>
  <si>
    <t>XHHW, ZW, XHHW-2, XHH</t>
  </si>
  <si>
    <t>XHHW, XHHW-2, XHH</t>
  </si>
  <si>
    <t>KF-2, KFF-2</t>
  </si>
  <si>
    <t>KF-1, KFF-1</t>
  </si>
  <si>
    <t>Lookup Calculation</t>
  </si>
  <si>
    <t>OCPD Rating (Amperes)</t>
  </si>
  <si>
    <t>Copper (AWG or kcmil)</t>
  </si>
  <si>
    <t>Aluminum or Copper-Clad Aluminum (AWG or kcmil)</t>
  </si>
  <si>
    <t>NEC Table 250.122 Minimum size equipment grounding conductors EGCs</t>
  </si>
  <si>
    <t>HP_Col1</t>
  </si>
  <si>
    <t>HP_Col2</t>
  </si>
  <si>
    <t>HP_Col3</t>
  </si>
  <si>
    <t>HP_Col4</t>
  </si>
  <si>
    <t>HP_Col5</t>
  </si>
  <si>
    <t>HP_Col6</t>
  </si>
  <si>
    <t>1-1/2</t>
  </si>
  <si>
    <t>-</t>
  </si>
  <si>
    <t>5</t>
  </si>
  <si>
    <t>7-1/2</t>
  </si>
  <si>
    <t>NEMA Preferred HP ratings for Motors</t>
  </si>
  <si>
    <t>NEMA Preferred RPM ratings for Motors</t>
  </si>
  <si>
    <t>Speed_Col1</t>
  </si>
  <si>
    <t>Speed_Col2</t>
  </si>
  <si>
    <t>Speed_Col3</t>
  </si>
  <si>
    <t>Speed_Col4</t>
  </si>
  <si>
    <t>NEC Table 310.16 Cable Ampacity for Raceway / Conduit</t>
  </si>
  <si>
    <t xml:space="preserve">NEC Table 310.17 </t>
  </si>
  <si>
    <t>4"</t>
  </si>
  <si>
    <t>2"</t>
  </si>
  <si>
    <t>Cable</t>
  </si>
  <si>
    <t>SIGNAL</t>
  </si>
  <si>
    <t>CONNECTION</t>
  </si>
  <si>
    <t>TAG NO</t>
  </si>
  <si>
    <t>INTRINSICALLY SAFE</t>
  </si>
  <si>
    <t>2 wire</t>
  </si>
  <si>
    <t>2 wire shielded</t>
  </si>
  <si>
    <t>YES</t>
  </si>
  <si>
    <t>3 wire shielded</t>
  </si>
  <si>
    <t>Sum of Cross Sectional Areas</t>
  </si>
  <si>
    <t>Number of Cables</t>
  </si>
  <si>
    <t xml:space="preserve">Conduit </t>
  </si>
  <si>
    <t>Nom Diameter</t>
  </si>
  <si>
    <t xml:space="preserve">Company </t>
  </si>
  <si>
    <t>Designation</t>
  </si>
  <si>
    <t>Conductors</t>
  </si>
  <si>
    <t>600 V</t>
  </si>
  <si>
    <t>Shield</t>
  </si>
  <si>
    <t>Yes</t>
  </si>
  <si>
    <t>TC-ER</t>
  </si>
  <si>
    <t>One Shot/Full Shoe (mm)</t>
  </si>
  <si>
    <t>One Shot/Full Shoe (in)</t>
  </si>
  <si>
    <t>Other Bends (mm)</t>
  </si>
  <si>
    <t>Other Bends (in)</t>
  </si>
  <si>
    <t>Chapter 9 Table 2 Radius of Conduit and Tubing Bends</t>
  </si>
  <si>
    <t>`</t>
  </si>
  <si>
    <t>LSHH-1 N.C</t>
  </si>
  <si>
    <t>LSHH-1 N.O</t>
  </si>
  <si>
    <t>LSHH-2 N.C</t>
  </si>
  <si>
    <t>LSHH-2 N.O</t>
  </si>
  <si>
    <t>NO</t>
  </si>
  <si>
    <t>DIGITAL CONTACT</t>
  </si>
  <si>
    <t>LSHH-1 PW</t>
  </si>
  <si>
    <t>LSLL-1 PW</t>
  </si>
  <si>
    <t>LSHH-2 PW</t>
  </si>
  <si>
    <t>LSLL-2 PW</t>
  </si>
  <si>
    <t>RUN INTERLOCK</t>
  </si>
  <si>
    <t>XL-1</t>
  </si>
  <si>
    <t>XA-1</t>
  </si>
  <si>
    <t>XL-3</t>
  </si>
  <si>
    <t>XL-4</t>
  </si>
  <si>
    <t>ZSO-071</t>
  </si>
  <si>
    <t>ZSC-071</t>
  </si>
  <si>
    <t>4 pair shielded</t>
  </si>
  <si>
    <t>…</t>
  </si>
  <si>
    <t>ZSO-151</t>
  </si>
  <si>
    <t>ZSC-151</t>
  </si>
  <si>
    <t>ZSO-201</t>
  </si>
  <si>
    <t>ZSC-201</t>
  </si>
  <si>
    <t>ZSO-073</t>
  </si>
  <si>
    <t>ZSC-073</t>
  </si>
  <si>
    <t>ZSO-074</t>
  </si>
  <si>
    <t>ZS0-072</t>
  </si>
  <si>
    <t>ZSC-072</t>
  </si>
  <si>
    <t>VSH-1</t>
  </si>
  <si>
    <t xml:space="preserve">2 wire </t>
  </si>
  <si>
    <t>RED</t>
  </si>
  <si>
    <t>YELLOW</t>
  </si>
  <si>
    <t>ZSC-074</t>
  </si>
  <si>
    <t>SV-022</t>
  </si>
  <si>
    <t>SV-021</t>
  </si>
  <si>
    <t>SV-024</t>
  </si>
  <si>
    <t>SV-023</t>
  </si>
  <si>
    <t>SV-071</t>
  </si>
  <si>
    <t>SV-201</t>
  </si>
  <si>
    <t>SV-151</t>
  </si>
  <si>
    <t>SV-075</t>
  </si>
  <si>
    <t>SV-073</t>
  </si>
  <si>
    <t>SV-074</t>
  </si>
  <si>
    <t>SV-072</t>
  </si>
  <si>
    <t>4-20 mA</t>
  </si>
  <si>
    <t>CBL 811</t>
  </si>
  <si>
    <t>CBL 813</t>
  </si>
  <si>
    <t>AH 809</t>
  </si>
  <si>
    <t>ALARM</t>
  </si>
  <si>
    <t>XY-1</t>
  </si>
  <si>
    <t>XY-3</t>
  </si>
  <si>
    <t>XY-4</t>
  </si>
  <si>
    <t>PT-1</t>
  </si>
  <si>
    <t>PT-2</t>
  </si>
  <si>
    <t>PT-3</t>
  </si>
  <si>
    <t>PT-4</t>
  </si>
  <si>
    <t>PT-5</t>
  </si>
  <si>
    <t>PT-6</t>
  </si>
  <si>
    <t>PT-7</t>
  </si>
  <si>
    <t>PT-8</t>
  </si>
  <si>
    <t>VT-1</t>
  </si>
  <si>
    <t>VT-2</t>
  </si>
  <si>
    <t>LT-1</t>
  </si>
  <si>
    <t>LT-2</t>
  </si>
  <si>
    <t>II-1</t>
  </si>
  <si>
    <t>ZE-1A</t>
  </si>
  <si>
    <t>ZE-1B</t>
  </si>
  <si>
    <t>CUSTOMER MCC - LCP-1</t>
  </si>
  <si>
    <t>CUSTOMER DCS - LCP-1</t>
  </si>
  <si>
    <t>TT-1</t>
  </si>
  <si>
    <t>TT-2</t>
  </si>
  <si>
    <t>TT-3</t>
  </si>
  <si>
    <t>TT-4</t>
  </si>
  <si>
    <t>TT-5</t>
  </si>
  <si>
    <t>TT-6</t>
  </si>
  <si>
    <t>TT-7</t>
  </si>
  <si>
    <t>TE-8</t>
  </si>
  <si>
    <t>TE-9</t>
  </si>
  <si>
    <t>TE-10</t>
  </si>
  <si>
    <t>TE-11</t>
  </si>
  <si>
    <t>TE-12</t>
  </si>
  <si>
    <t>TE-13</t>
  </si>
  <si>
    <t>TE-14</t>
  </si>
  <si>
    <t>XT-7A</t>
  </si>
  <si>
    <t>PCV-201</t>
  </si>
  <si>
    <t>TCV-201</t>
  </si>
  <si>
    <t>FROM CUSTOMER - LCP-1</t>
  </si>
  <si>
    <t>GREEN</t>
  </si>
  <si>
    <t>BLUE</t>
  </si>
  <si>
    <t>IN STOCK CABLES</t>
  </si>
  <si>
    <t>HTR 1</t>
  </si>
  <si>
    <t>HTR 2</t>
  </si>
  <si>
    <t>Advanced Digital Cable</t>
  </si>
  <si>
    <t>Alan Wire</t>
  </si>
  <si>
    <t>1 C</t>
  </si>
  <si>
    <t xml:space="preserve">TFFN oil gas </t>
  </si>
  <si>
    <t>Dekoron</t>
  </si>
  <si>
    <t>4 C</t>
  </si>
  <si>
    <t>2 C</t>
  </si>
  <si>
    <t>3 C</t>
  </si>
  <si>
    <t>No</t>
  </si>
  <si>
    <t>Cable Designation</t>
  </si>
  <si>
    <t>Minimum required Conduit Size</t>
  </si>
  <si>
    <t>0</t>
  </si>
  <si>
    <t>Rigid Metal Conduit</t>
  </si>
  <si>
    <t>Liquidtight Flexible Nonmetallic Conduit</t>
  </si>
  <si>
    <t>Flexible Metal Conduit</t>
  </si>
  <si>
    <t>Conduit Branch</t>
  </si>
  <si>
    <t>Y1</t>
  </si>
  <si>
    <t>Y2</t>
  </si>
  <si>
    <t>B2</t>
  </si>
  <si>
    <t>Y3</t>
  </si>
  <si>
    <t>Y4</t>
  </si>
  <si>
    <t>Y5</t>
  </si>
  <si>
    <t>Y6</t>
  </si>
  <si>
    <t>B1</t>
  </si>
  <si>
    <t>R1</t>
  </si>
  <si>
    <t>R2</t>
  </si>
  <si>
    <t>R3</t>
  </si>
  <si>
    <t>R4</t>
  </si>
  <si>
    <t>R5</t>
  </si>
  <si>
    <t>G1</t>
  </si>
  <si>
    <t>G2</t>
  </si>
  <si>
    <t>Conduit</t>
  </si>
  <si>
    <t>Chosen Size</t>
  </si>
  <si>
    <t>TE-15</t>
  </si>
  <si>
    <t>Alan16</t>
  </si>
  <si>
    <t>Alan10</t>
  </si>
  <si>
    <t>Alan6</t>
  </si>
  <si>
    <t>Advanced14</t>
  </si>
  <si>
    <t>Dek2C</t>
  </si>
  <si>
    <t>Dek3C</t>
  </si>
  <si>
    <t>Dek4C</t>
  </si>
  <si>
    <t>Cable Qty</t>
  </si>
  <si>
    <t>Alan14</t>
  </si>
  <si>
    <t>Reynolds</t>
  </si>
  <si>
    <t>Motor12</t>
  </si>
  <si>
    <t>12 C</t>
  </si>
  <si>
    <t>Motor12Sh</t>
  </si>
  <si>
    <t>Tag</t>
  </si>
  <si>
    <t>Transcribed Contents</t>
  </si>
  <si>
    <t>BL</t>
  </si>
  <si>
    <t>MH, LB, TB, ELB, X, X</t>
  </si>
  <si>
    <t>RD</t>
  </si>
  <si>
    <t>Red</t>
  </si>
  <si>
    <t>RD, T</t>
  </si>
  <si>
    <t>RD, T LB</t>
  </si>
  <si>
    <t>RD, T, down TT4 T, up TT3 T</t>
  </si>
  <si>
    <t>GN</t>
  </si>
  <si>
    <t>MH, LB, TB, 90, X, T</t>
  </si>
  <si>
    <t>RD, 90°, C</t>
  </si>
  <si>
    <t>YW</t>
  </si>
  <si>
    <t>RD, X, X, RD -&gt; 1/2" LB, 1/2" LB, 1/2" LB, 1/2" LB</t>
  </si>
  <si>
    <t>RD, T, 90, X</t>
  </si>
  <si>
    <t>Part</t>
  </si>
  <si>
    <t>3/4"</t>
  </si>
  <si>
    <t>T</t>
  </si>
  <si>
    <t>X</t>
  </si>
  <si>
    <t>LB</t>
  </si>
  <si>
    <t>90°</t>
  </si>
  <si>
    <t>TB</t>
  </si>
  <si>
    <t>C</t>
  </si>
  <si>
    <t>Seal</t>
  </si>
  <si>
    <t>Union 90</t>
  </si>
  <si>
    <t>MH</t>
  </si>
  <si>
    <t>ELB</t>
  </si>
  <si>
    <t>1/2"</t>
  </si>
  <si>
    <t>1"</t>
  </si>
  <si>
    <t>1-1/4"</t>
  </si>
  <si>
    <t>LR</t>
  </si>
  <si>
    <t>Conduit BOM</t>
  </si>
  <si>
    <t>Conduit Planning</t>
  </si>
  <si>
    <t>1-1/4</t>
  </si>
  <si>
    <t>RD, X, T, X, LB, TB, UNION90, SEAL, UNION90, SEAL, T, 90, T W DRAIN, C</t>
  </si>
  <si>
    <t>RD, T, T, T, 90, LB</t>
  </si>
  <si>
    <t>MH, LB, TB, 90, X, 90, X, X, T, T, 90</t>
  </si>
  <si>
    <t>SEARCH  WORD</t>
  </si>
  <si>
    <t>EPICOR
P/N</t>
  </si>
  <si>
    <t>NEW P/N</t>
  </si>
  <si>
    <t>EPICOR DESCRIPTION</t>
  </si>
  <si>
    <t>NEW DESCRIPTION</t>
  </si>
  <si>
    <t>SIZE</t>
  </si>
  <si>
    <t>BIN LOCATION EC RACK</t>
  </si>
  <si>
    <t>QTY</t>
  </si>
  <si>
    <t>QTY BIN LOCATION 2</t>
  </si>
  <si>
    <t>NOTES</t>
  </si>
  <si>
    <t>BUSHING</t>
  </si>
  <si>
    <t>1-1/4" X 1/2" REDUCING BUSHING</t>
  </si>
  <si>
    <t>1-1/4" X 1/2"</t>
  </si>
  <si>
    <t>EC2-4</t>
  </si>
  <si>
    <t>MYPRO</t>
  </si>
  <si>
    <t>MYPRO MTA-011-120-S</t>
  </si>
  <si>
    <t>N/A</t>
  </si>
  <si>
    <t>MYPRO MTA-011-120</t>
  </si>
  <si>
    <t>MTA-111-120</t>
  </si>
  <si>
    <t>RC-100-120</t>
  </si>
  <si>
    <t>MTA-111-120-S</t>
  </si>
  <si>
    <t>MTA-121-120-V1K-S MYPRO TOUCH AD</t>
  </si>
  <si>
    <t>MTA-121-120-V1K-S</t>
  </si>
  <si>
    <t>MTA-211-120-V1K-S</t>
  </si>
  <si>
    <t>TERMFITT</t>
  </si>
  <si>
    <t>#350 MCM X 3/8" SINGLE COMP LUG</t>
  </si>
  <si>
    <t>#350 MCM</t>
  </si>
  <si>
    <t>EC5-4</t>
  </si>
  <si>
    <t>#350 MCM X 1/2" SINGLE COMP LUG</t>
  </si>
  <si>
    <t>CONDFITT</t>
  </si>
  <si>
    <t>1/2" REC HOLE PLUG</t>
  </si>
  <si>
    <t>EC3-3</t>
  </si>
  <si>
    <t xml:space="preserve"> </t>
  </si>
  <si>
    <t>3/4" REC HOLE PLUG</t>
  </si>
  <si>
    <t>EC2-2</t>
  </si>
  <si>
    <t>1" REC HOLE PLUG</t>
  </si>
  <si>
    <r>
      <t xml:space="preserve">2" X 1/2" RE BUSHING / </t>
    </r>
    <r>
      <rPr>
        <sz val="10"/>
        <color rgb="FFFF0000"/>
        <rFont val="Aptos Narrow"/>
        <family val="2"/>
        <scheme val="minor"/>
      </rPr>
      <t>CORRECT PART NUMBER</t>
    </r>
  </si>
  <si>
    <t>EC2-3</t>
  </si>
  <si>
    <t>1-1/4" REC HOLE PLUG</t>
  </si>
  <si>
    <t>EC1-3</t>
  </si>
  <si>
    <t>NEW BIN LOCATION</t>
  </si>
  <si>
    <t>1-1/2" REC HOLE PLUG</t>
  </si>
  <si>
    <t>1-1/2"</t>
  </si>
  <si>
    <t>EC2-1</t>
  </si>
  <si>
    <t>2" REC HOLE PLUG</t>
  </si>
  <si>
    <t xml:space="preserve">2" </t>
  </si>
  <si>
    <t>KOSEAL</t>
  </si>
  <si>
    <t>1/2" 3 PIECE K.O. SEAL TYPE 1</t>
  </si>
  <si>
    <t>EC4-4</t>
  </si>
  <si>
    <t>3/4" 3 PIECE K.O. SEAL TYPE 1</t>
  </si>
  <si>
    <t>TAPE</t>
  </si>
  <si>
    <t>3/4" 3M GREEN 35 ELECTRIC TAPE</t>
  </si>
  <si>
    <t>EC5-2</t>
  </si>
  <si>
    <t>FASTENER</t>
  </si>
  <si>
    <t>10-32 X 1/2" PHILLIPS SCREW</t>
  </si>
  <si>
    <t>10-32</t>
  </si>
  <si>
    <t>EC5-3</t>
  </si>
  <si>
    <t>10-32 X 1/4" PHILLIPS SCREW</t>
  </si>
  <si>
    <t>1/4"-20 X 3/4" HEX HEAD CAP SCREW SS PACK OF 50 EACH</t>
  </si>
  <si>
    <t>1/4"- 20</t>
  </si>
  <si>
    <t>MCMASTER P/N 92240A537</t>
  </si>
  <si>
    <t>1/4"-20 X 1/2" HEX HEAD CAP SCREW SS PACK OF 50 EACH</t>
  </si>
  <si>
    <t>1/4" FLAT WASHER SS PACK OF 100 EACH</t>
  </si>
  <si>
    <t>1/4"</t>
  </si>
  <si>
    <t>MCMASTER P/N 92141A029</t>
  </si>
  <si>
    <t>1/4" NYLON INSERT HEX LOCKNUT SS PACK OF 100 EACH</t>
  </si>
  <si>
    <t>MCMASTER P/N 90715A125</t>
  </si>
  <si>
    <t>5/16" X 1" HEX HEAD CAP SCREW SS</t>
  </si>
  <si>
    <t>5/16"</t>
  </si>
  <si>
    <t>5/16" FLAT WASHER SS</t>
  </si>
  <si>
    <t>5/16"-18 X 3/4" HEX HEAD CAP SCREW SS</t>
  </si>
  <si>
    <t xml:space="preserve">5/16" </t>
  </si>
  <si>
    <t>MCMASTER P/N 92240A581 (50 / PACK)</t>
  </si>
  <si>
    <t>5/16"  NYLON INSERT HEX LOCKNUT SS</t>
  </si>
  <si>
    <t>5/16" SPLIT LOCK WASHER SS</t>
  </si>
  <si>
    <t>MCMASTER P/N 92146A030 (100 / PACK)</t>
  </si>
  <si>
    <t>3/8" SPLIT LOCK WASHER SS</t>
  </si>
  <si>
    <t>3/8"</t>
  </si>
  <si>
    <t>MCMASTER P/N 92146A031 (100 / PACK)</t>
  </si>
  <si>
    <t>3/8" FENDER WASHER SS</t>
  </si>
  <si>
    <t>3/8" FLAT WASHER SS (100 PER BOX)</t>
  </si>
  <si>
    <t>MCMASTER P/N 92141A031 (100 / PACK)</t>
  </si>
  <si>
    <t>3/8" X 3/4" HEX HEAD CAP SCREW SS</t>
  </si>
  <si>
    <t>3/8" X 1" HEX HEAD CAP SCREW SS</t>
  </si>
  <si>
    <t>EC1-2</t>
  </si>
  <si>
    <t>3/8" X 1-1/4" HEX HEAD CAP SCREW SS</t>
  </si>
  <si>
    <t>MCMASTER P/N 92314A544 ( 25 / PACK)</t>
  </si>
  <si>
    <t>3/8" HEX NUTS SS</t>
  </si>
  <si>
    <t>2" RA COND CLAMPS</t>
  </si>
  <si>
    <t>EC1-1</t>
  </si>
  <si>
    <t>3/4" NPT PLASTIC HOLE PLUG</t>
  </si>
  <si>
    <t>CONDBODY</t>
  </si>
  <si>
    <t>1-1/4" MALL LL COND BODY</t>
  </si>
  <si>
    <t>EC1-4</t>
  </si>
  <si>
    <t>1-1/4" MALL LR COND BODY</t>
  </si>
  <si>
    <t>1-1/4" MALL FEM / FEM UNION</t>
  </si>
  <si>
    <t>1/2" GRL AL COND BODY HAZ LOC</t>
  </si>
  <si>
    <t>EC3-4</t>
  </si>
  <si>
    <t>2" X 1-1/4" RE BUSHING</t>
  </si>
  <si>
    <t>3/4" GRL AL COND BODY HAZ LOC</t>
  </si>
  <si>
    <t xml:space="preserve">3/4" MALL LR COND BODY </t>
  </si>
  <si>
    <t>TWO SEPARATE BINS</t>
  </si>
  <si>
    <t>3/4" LBY FEM / FEM COND BODY HAZ LOC</t>
  </si>
  <si>
    <t>3/4" FEM / FEM 90 DEG SHORT ELB HAZ LOC</t>
  </si>
  <si>
    <t>3/4" FEM / FEM 45 DEG SHORT ELB HAZ LOC</t>
  </si>
  <si>
    <t>1/2" CORD GRIP .28" NON / STANDARD</t>
  </si>
  <si>
    <t>1/4"-20 X 1/4" PHILLIPS SCREW SS</t>
  </si>
  <si>
    <t>1/4"-20</t>
  </si>
  <si>
    <t>1/4"-20 HEX NUTS SS</t>
  </si>
  <si>
    <t>1/2" NPT PLASTIC HOLE PLUG</t>
  </si>
  <si>
    <t>1/4" SPLIT WASHERS SS</t>
  </si>
  <si>
    <t>CLAMPS</t>
  </si>
  <si>
    <t xml:space="preserve">LOOM CLAMPS I.D. 1/2" </t>
  </si>
  <si>
    <t xml:space="preserve">LOOM CLAMPS I.D. 5/8" </t>
  </si>
  <si>
    <t>5/8"</t>
  </si>
  <si>
    <t xml:space="preserve">LOOM CLAMPS I.D. 7/8" </t>
  </si>
  <si>
    <t>7/8"</t>
  </si>
  <si>
    <t>3/4" X 1/2" RED WASHERS</t>
  </si>
  <si>
    <t>1" X 1/2" RED WASHERS</t>
  </si>
  <si>
    <t>1/2" SPLIT WASHERS SS</t>
  </si>
  <si>
    <t>PART NUMBER CHANGE</t>
  </si>
  <si>
    <t>3/8" RUBBER SEALING WASHER</t>
  </si>
  <si>
    <t xml:space="preserve">5/16"-18 X 1" HEX HEAD CAP SCREW SS </t>
  </si>
  <si>
    <t>1" 3 PIECE K.O. SEAL TYPE 1</t>
  </si>
  <si>
    <t>2" MALL RA CLAMP</t>
  </si>
  <si>
    <t>3" MALL RA CLAMP</t>
  </si>
  <si>
    <t>3"</t>
  </si>
  <si>
    <t>3" MALL LB COND BODY</t>
  </si>
  <si>
    <t>3" MALL COND BODY COVER</t>
  </si>
  <si>
    <t>3" MALL COND BODY GASKET</t>
  </si>
  <si>
    <t>3" X 2" RE BUSHING</t>
  </si>
  <si>
    <t>4" X 3" RE BUSHING</t>
  </si>
  <si>
    <t>4" X 3"</t>
  </si>
  <si>
    <t>2" MALL T COND BODY</t>
  </si>
  <si>
    <t>2" MALL TB COND BODY</t>
  </si>
  <si>
    <t>2" MALL C COND BODY</t>
  </si>
  <si>
    <t>2" REC PLUGS</t>
  </si>
  <si>
    <t>2" MALL COND BODY COVERS / SCREW TYPE</t>
  </si>
  <si>
    <t>DESCRIPTION CHANGE / NEED LABEL</t>
  </si>
  <si>
    <t>2" MALL COND BODY GASKET / SCREW TYPE</t>
  </si>
  <si>
    <t>2" X 1-1/2" RE BUSHING</t>
  </si>
  <si>
    <t>2" X 1" RE BUSHING</t>
  </si>
  <si>
    <t>2" GRC THREADED COUPLING</t>
  </si>
  <si>
    <t>3" GRC THREADED COUPLING</t>
  </si>
  <si>
    <t>2" X 1/2" RE BUSHING / INACTIVE</t>
  </si>
  <si>
    <t>INACTIVE 10/06/25</t>
  </si>
  <si>
    <t>2" MEYERS HUB</t>
  </si>
  <si>
    <t>2" LIQ-TIGHT STRAIGHT CONN</t>
  </si>
  <si>
    <t xml:space="preserve">2" LIQ-TIGHT 45 DEG CONN </t>
  </si>
  <si>
    <t xml:space="preserve">DESCRIPTION CHANGE </t>
  </si>
  <si>
    <t>2" LIQ-TIGHT 90 DEG CONN</t>
  </si>
  <si>
    <t>1-1/2" MEYERS HUB</t>
  </si>
  <si>
    <t>1" GRL ALUM COND BODY</t>
  </si>
  <si>
    <t>1-1/4" EYF MALL SEAL OFF / VERTICLE</t>
  </si>
  <si>
    <t>1-1/4" MALL LBY HAZ LOC</t>
  </si>
  <si>
    <t>1" MALL LBY COND BODY</t>
  </si>
  <si>
    <t>1" SHORT COND ELB HAZ LOC</t>
  </si>
  <si>
    <t>2" MALL COND BODY COVER / FM7</t>
  </si>
  <si>
    <t>2" MALL COND BODY GASKET / FM7</t>
  </si>
  <si>
    <t>3/4" 90 DEG. PULL ELB MALE / FEM NON HAZ LOC</t>
  </si>
  <si>
    <t>1/2" MALL LBY FEM / FEM COND BODY</t>
  </si>
  <si>
    <t>NIPPLE</t>
  </si>
  <si>
    <t>1/2" X 2" GRC NIPPLE</t>
  </si>
  <si>
    <t>1/2" ELF 45 DEG ELB HAZ LOC</t>
  </si>
  <si>
    <t>2" X 2" X 1/4" X 3/8" GROUND TAB</t>
  </si>
  <si>
    <t xml:space="preserve">LOOM CLAMPS I.D. 1.0" </t>
  </si>
  <si>
    <t>SPARE</t>
  </si>
  <si>
    <t>2" MALL X COND BODY</t>
  </si>
  <si>
    <t>2" MALL LR COND BODY</t>
  </si>
  <si>
    <t>1/2" FLAT WASHERS SS</t>
  </si>
  <si>
    <t>P/N #92141A033</t>
  </si>
  <si>
    <t>P/N #92146A033</t>
  </si>
  <si>
    <t>5/16" HEX NUTS SS</t>
  </si>
  <si>
    <t>1-1/4" X 2" GRC  NIPPLE</t>
  </si>
  <si>
    <t>1-1/2" X GRC CLOSE NIPPLE</t>
  </si>
  <si>
    <t>1" x 2" GRC NIPPLE</t>
  </si>
  <si>
    <t>1" PULL ELB MALE / FEM TYPE 1</t>
  </si>
  <si>
    <t>3/4" MALL UNION 90 HAZ LOC UNL</t>
  </si>
  <si>
    <t>1/2" MALL UNION 90 HAZ LOC UNL</t>
  </si>
  <si>
    <t>1/2" MALL LL CONDUIT BODY</t>
  </si>
  <si>
    <t xml:space="preserve">On the label </t>
  </si>
  <si>
    <t>1/2" MALL TB CONDUIT BODY</t>
  </si>
  <si>
    <t>2 SEPARATE BIN LOCATIONS</t>
  </si>
  <si>
    <t>1/2" MALL X CONDUIT BODY</t>
  </si>
  <si>
    <t>1/2" GRC STRUT STRAPS</t>
  </si>
  <si>
    <t>3/4" MALL C COND BODY</t>
  </si>
  <si>
    <t>3/4" DRAIN BREATHER</t>
  </si>
  <si>
    <t>1" MALL LB COND BODY</t>
  </si>
  <si>
    <t>1" MALL LL CONDUIT BODY</t>
  </si>
  <si>
    <t>1" MALL LR COND BODY / FM7</t>
  </si>
  <si>
    <t>TWO  DIFFERENT BINS</t>
  </si>
  <si>
    <t>1" MALL C COND BODY</t>
  </si>
  <si>
    <t>1" MALL TB CONDUIT BODY</t>
  </si>
  <si>
    <t>1" GRC STRUT STRAPS</t>
  </si>
  <si>
    <t>1" SHORT COND ELB MALE / FEM NON HAZ LOC</t>
  </si>
  <si>
    <t>EC3-2</t>
  </si>
  <si>
    <t>1" 90 DEG. PULL ELB FEM / FEM NON HAZ LOC</t>
  </si>
  <si>
    <t>1-1/4" MALL LB COND BODY</t>
  </si>
  <si>
    <t xml:space="preserve">1-1/4" </t>
  </si>
  <si>
    <t>1-1/4" MALL LL CONDUIT BODY</t>
  </si>
  <si>
    <t>1-1/4" MALL C COND BODY</t>
  </si>
  <si>
    <t>1-1/4" MALL TB CONDUIT BODY</t>
  </si>
  <si>
    <t>TWO BIN LOCATIONS</t>
  </si>
  <si>
    <t>1-1/4" MALL UNION MALE / FEM UNY</t>
  </si>
  <si>
    <t>1-1/4" LOCK RING</t>
  </si>
  <si>
    <t>#6 AWG X 1/4" SINGLE COMP LUG</t>
  </si>
  <si>
    <t>#1 AWG X 3/8" SINGLE COMP LUG</t>
  </si>
  <si>
    <t>#2 AWG  X 3/8" SINGLE COMP LUG</t>
  </si>
  <si>
    <t>#2 AWG  X 1/2" SINGLE COMP LUG</t>
  </si>
  <si>
    <t>#2/0 AWG X 3/8" SINGLE COMP LUG</t>
  </si>
  <si>
    <t>#3/0 AWG X 3/8" SINGLE COMP LUG</t>
  </si>
  <si>
    <t>MCMASTER P/N 6926K57</t>
  </si>
  <si>
    <t>#250 MCM X 3/8" SINGLE COMP LUG</t>
  </si>
  <si>
    <t>250 MCM</t>
  </si>
  <si>
    <t>CORDGRIP</t>
  </si>
  <si>
    <t>SEALCON 1/2IN NPT BLACK NYLON REDUCED DOME CABLE GLAND, CD13NR-BK</t>
  </si>
  <si>
    <t>1/2″</t>
  </si>
  <si>
    <t>EC4-2</t>
  </si>
  <si>
    <t>SEALCON 1/2IN NPT BLACK NYLON LOCKING NUT, NN-12-BK</t>
  </si>
  <si>
    <t>SEALCON 1/2IN NPT BUNA-N O-RING, OR-18-BN</t>
  </si>
  <si>
    <t>SEALCON 1IN NPT BLACK NYLON STANDARD DOME MULTI-HOLE, CD29N3-BK</t>
  </si>
  <si>
    <t xml:space="preserve"> PRINT TWO LABELS</t>
  </si>
  <si>
    <t>SEALCON 1IN NPT BLACK NYLON LOCKING NUT, NN-29-BK</t>
  </si>
  <si>
    <t>SEALCON 1IN NPT BUNA-N O-RING, OR-10-BN</t>
  </si>
  <si>
    <t>#500 MCM X 3/8" SINGLE COMP LUG</t>
  </si>
  <si>
    <t>500 MCM</t>
  </si>
  <si>
    <t>#4 X 1/4" SINGLE COMP LUG</t>
  </si>
  <si>
    <t>1" X 1/2" REDUCING WASHERS</t>
  </si>
  <si>
    <t>1" X 1/2"</t>
  </si>
  <si>
    <t>3/8" X 1-1/2" HEX HEAD CAP SCREW SS</t>
  </si>
  <si>
    <t xml:space="preserve">4" GALV RIGID ELBOW 90 DEG </t>
  </si>
  <si>
    <t>JOB</t>
  </si>
  <si>
    <t>WIRE</t>
  </si>
  <si>
    <t>#350 MCM STRANDED WIRE THHN BLACK</t>
  </si>
  <si>
    <t>4" MEYERS HUB</t>
  </si>
  <si>
    <t>4" 45 DEG LIQ TIGHT ELBOW</t>
  </si>
  <si>
    <t>4" STRAIGHT LIQ TIGHT CONNECTOR</t>
  </si>
  <si>
    <t>#2 AWG STRANDED WIRE THHN GREEN</t>
  </si>
  <si>
    <t>#2 AWG</t>
  </si>
  <si>
    <t>4" THREADED COUPLING</t>
  </si>
  <si>
    <t>4" RA CLAMPS</t>
  </si>
  <si>
    <t>CONDUIT</t>
  </si>
  <si>
    <t>4" LIQ TIGHT FLEX</t>
  </si>
  <si>
    <t>#400 MCM STRANDED WIRE THHN</t>
  </si>
  <si>
    <t>#400 MCM</t>
  </si>
  <si>
    <t>#400 MCM X 3/8" SINGLE COMPRESSION LUG</t>
  </si>
  <si>
    <t>400 MCM</t>
  </si>
  <si>
    <t>#1/0 AWG STRANDED WIRE THHN GREEN</t>
  </si>
  <si>
    <t>#1/0 AWG</t>
  </si>
  <si>
    <t xml:space="preserve">4" GRC CONDUIT </t>
  </si>
  <si>
    <t>#1/0 AWG X 3/8" SINGLE COMPRESSION LUG</t>
  </si>
  <si>
    <t>1/2" LB COVER AND GASKET / CAST ALUMINUM</t>
  </si>
  <si>
    <t xml:space="preserve">1/2" </t>
  </si>
  <si>
    <t>1/2" KO SEAL FOR MYPRO PANEL 7/8" HOLE SIZE / GREY P/N 1EMR2</t>
  </si>
  <si>
    <t>MALE / MALE  CORROSION RESISTANT VIBRATION DAMPING SANDWICH M8 X 1.25MM</t>
  </si>
  <si>
    <t>EL5-1</t>
  </si>
  <si>
    <t>MCMASTER P/N 5823K43</t>
  </si>
  <si>
    <t xml:space="preserve">MALE / MALE VIBRATION DAMPING SANDWICH MOUNT 2-1/2" X 3/8"-16-1-1/8" </t>
  </si>
  <si>
    <t>2-1/2"</t>
  </si>
  <si>
    <t>MCMASTER P/N 9213K74</t>
  </si>
  <si>
    <t xml:space="preserve">3" GALV RIGID ELBOW 90 DEG </t>
  </si>
  <si>
    <t>#300 MCM CABLE</t>
  </si>
  <si>
    <t>#300 MCM</t>
  </si>
  <si>
    <t>3" MEYERS HUB</t>
  </si>
  <si>
    <t>3" STRAIGHT LIQ TIGHT CONNECTOR</t>
  </si>
  <si>
    <t>3" 45 DEG LIQ TIGHT ELBOW</t>
  </si>
  <si>
    <t>NEED LABEL</t>
  </si>
  <si>
    <t>3" GRC CONDUIT</t>
  </si>
  <si>
    <t xml:space="preserve">2" MALL SEAL OFF FITTING EYS </t>
  </si>
  <si>
    <t>#2 AWG X 3/8" SINGLE COMPRESSION LUG</t>
  </si>
  <si>
    <t>#2</t>
  </si>
  <si>
    <t>3" RIDGID THREADED COUPLING</t>
  </si>
  <si>
    <t>#300 MCM X 3/8" SINGLE COMPRESSION LUG</t>
  </si>
  <si>
    <t>1-1/4" MALL T COND BODY</t>
  </si>
  <si>
    <t>STRUT</t>
  </si>
  <si>
    <t>1-5/8" X 3-1/4" SLOTTED UNISTRUT GREEN PAINTED</t>
  </si>
  <si>
    <t>1-5/8" X 3-1/4"</t>
  </si>
  <si>
    <t>B5-COND RK</t>
  </si>
  <si>
    <t>1-5/8" x 1-5/8" SLOTTED STRUT</t>
  </si>
  <si>
    <t>1-5/8" X 1-5/8"</t>
  </si>
  <si>
    <t>2" GRC CONDUIT</t>
  </si>
  <si>
    <t xml:space="preserve">1-1/4" MALL COND BODY COVER / SCREW TYPE </t>
  </si>
  <si>
    <t>NEW PART NUMBER / LABEL</t>
  </si>
  <si>
    <t>1-1/4" MALL COND BODY GASKET / FM7</t>
  </si>
  <si>
    <t>CHANGE DESCRIPTION</t>
  </si>
  <si>
    <t>1" MALL T COND BODY</t>
  </si>
  <si>
    <t>3/4" MALL LL COND BODY</t>
  </si>
  <si>
    <t>3/4" MALL LB COND BODY</t>
  </si>
  <si>
    <t>3/8" X 2" HEX HEAD CAP SCREW SS 18-8</t>
  </si>
  <si>
    <t>3/8" X 2"</t>
  </si>
  <si>
    <t>MCMASTER P/N 92240A632</t>
  </si>
  <si>
    <t>CONSM</t>
  </si>
  <si>
    <t>IDEAL 30-030 NOALOX 8 OS BOTTLE</t>
  </si>
  <si>
    <t>8 OZ</t>
  </si>
  <si>
    <t>EC-CAB</t>
  </si>
  <si>
    <t>SPLITUBE</t>
  </si>
  <si>
    <t>1/4" SPLIT TUBING BLACK 100'/ ROLL</t>
  </si>
  <si>
    <t>MCMASTER P/N 7840K71</t>
  </si>
  <si>
    <t>3/8" SPLIT TUBING BLACK 100' / ROLL</t>
  </si>
  <si>
    <t>IDEAL 31-388 Clear Gli</t>
  </si>
  <si>
    <t>1 QT</t>
  </si>
  <si>
    <t>LABELS</t>
  </si>
  <si>
    <t xml:space="preserve">1-5/8  X 1-5/8 Multi Hole </t>
  </si>
  <si>
    <t>1-5/8  X 1-5/8</t>
  </si>
  <si>
    <t>BK5-COND RK</t>
  </si>
  <si>
    <t>2" X 3/4" REDUCING BUSHING</t>
  </si>
  <si>
    <t>2" X 3/4""</t>
  </si>
  <si>
    <t>2" X 1" REDUCING BUSHING</t>
  </si>
  <si>
    <t>2" x 1"</t>
  </si>
  <si>
    <t>1/4" REC PLUG</t>
  </si>
  <si>
    <t>1-1/4" X 3/4"</t>
  </si>
  <si>
    <t>2" MALL LL CONDUIT BODY</t>
  </si>
  <si>
    <t>EC1-5</t>
  </si>
  <si>
    <t>2" MALL LB CONDUIT BODY</t>
  </si>
  <si>
    <t>1" MALL X CONDUIT BODY</t>
  </si>
  <si>
    <t>2" X 1-1/4"</t>
  </si>
  <si>
    <t>1-1/4" X 3/4" RE BUSHING</t>
  </si>
  <si>
    <t>BIN LOCATION NEEDS LABEL</t>
  </si>
  <si>
    <t>2" GRC CLOSE NIPPLE</t>
  </si>
  <si>
    <t>2" CLOSE</t>
  </si>
  <si>
    <t>M8 X 1"x 1" x 3/4" CORROSION RESISTANT VIBRATION DAMPING SANDWICH MOUNT</t>
  </si>
  <si>
    <t>M8</t>
  </si>
  <si>
    <t>EC6-3</t>
  </si>
  <si>
    <t>McMaster P/N 5823K43</t>
  </si>
  <si>
    <t>M8 SS METRIC WASHER PACK OF 100 / EACH</t>
  </si>
  <si>
    <t>McMaster P/N 98689A116</t>
  </si>
  <si>
    <t>M8 METRIC OVERSIZED WASHER</t>
  </si>
  <si>
    <t>McMaster P/N 93849A202</t>
  </si>
  <si>
    <t>M8 METRIC SPLIT WASHER PACK OF 100 / EACH</t>
  </si>
  <si>
    <t>McMaster P/N 92146A545</t>
  </si>
  <si>
    <t>3/8 -18 X 2" x 3/4" X 1-1/8"  CORROSION RESISTANT VIBRATION DAMPING SANDWICH MOUNT #5823K21</t>
  </si>
  <si>
    <t>McMaster P/N 5823K21</t>
  </si>
  <si>
    <t xml:space="preserve"> HEX HEAD SCREW M8 X 1.25 X 20 MM (PACKS OF 10 EACH)</t>
  </si>
  <si>
    <t>McMaster P/N 93635A318</t>
  </si>
  <si>
    <t>1" COND BODY GASKET / FM7</t>
  </si>
  <si>
    <t>EC3-1</t>
  </si>
  <si>
    <t xml:space="preserve"> NEW PART NUMBER / LABEL</t>
  </si>
  <si>
    <t>1-1/4" THREADED GRC COUPLING</t>
  </si>
  <si>
    <t>1-1/4" LIQ TIGHT 45 DEG ELBOW / WITH GROUND</t>
  </si>
  <si>
    <t>1-1/4" LIQ TIGHT STRAIGHT CONNECTOR / WITH GROUND</t>
  </si>
  <si>
    <t xml:space="preserve">1/2" LIQ TIGHT STRAIGHT CONN /  </t>
  </si>
  <si>
    <t>NEW PART NUMBER / LABEL TWO BIN LOCATIONS</t>
  </si>
  <si>
    <t xml:space="preserve">1/2" LIQ TIGHT 45 DEG ELBOW /  </t>
  </si>
  <si>
    <t xml:space="preserve">1/2" LIQ TIGHT 90 DEG ELBOW /  </t>
  </si>
  <si>
    <t>3" X 1-1/4" REDUCING BUSHING</t>
  </si>
  <si>
    <t xml:space="preserve">3" X 1-1/4" </t>
  </si>
  <si>
    <t>3/4" GRC THREADED COUPING</t>
  </si>
  <si>
    <t>1-1/2" x 1" RE BUSHING</t>
  </si>
  <si>
    <t>1-1/2" X 1"</t>
  </si>
  <si>
    <t xml:space="preserve">3/4" LIQ TIGHT 45 DEGREE ELBOW /   </t>
  </si>
  <si>
    <t>3/4" X 2" GRC NIPPLE</t>
  </si>
  <si>
    <t>3/4" COND BODY GASKET / FM7</t>
  </si>
  <si>
    <t>3/4" COND BODY GASKET SCREW TYPE</t>
  </si>
  <si>
    <t>3/4" COND BODY COVER FM7</t>
  </si>
  <si>
    <t>1/2" LB ALUMINUM CONDUIT BIDIES</t>
  </si>
  <si>
    <t>RUBBER SEALING WASHERS</t>
  </si>
  <si>
    <t>.275 X .625</t>
  </si>
  <si>
    <t>FERRULES</t>
  </si>
  <si>
    <t>AW10012 - 18 AWG (12mm PIN) ISNULATED FERRULES</t>
  </si>
  <si>
    <t>RUBBER MASTIC TAPE #228 2" X 10'</t>
  </si>
  <si>
    <t>SCOTCH SUPER 33+ ELECTRICAL TAPE</t>
  </si>
  <si>
    <t>P/N 95211A180 M8 X 8.4 X 24  SS FLAT WASHER (10 PER PACK)</t>
  </si>
  <si>
    <t>P/N 95211A180</t>
  </si>
  <si>
    <t>P/N 94205A260 M8 X 1.25mm NYLON INSERT NUTS (PACK OF 25 EACH)</t>
  </si>
  <si>
    <t>P/N 94205A260</t>
  </si>
  <si>
    <t>P/N 93635A330 M8 X 35mm X 1.25 / 316 SS SCREW (PACKS OF 5 EACH)</t>
  </si>
  <si>
    <t>P/N 93635A330</t>
  </si>
  <si>
    <t>1-1/4" LIQ-TIGHT FLEX</t>
  </si>
  <si>
    <t xml:space="preserve"> B5-CONDUIT RACK</t>
  </si>
  <si>
    <t>1/2" CONDUIT BODY COVER GASKET SCREW TYPE</t>
  </si>
  <si>
    <t>1/2" CONDUIT BODY COVER  SCREW TYPE</t>
  </si>
  <si>
    <t>2-1/2" MALL LB COND BODY</t>
  </si>
  <si>
    <t>EC7-1</t>
  </si>
  <si>
    <t>2-1/2" MALL  COND BODY COVER</t>
  </si>
  <si>
    <t>2-1/2" MALL  COND BODY GASKET</t>
  </si>
  <si>
    <t>2-1/2" MEYERS HUB</t>
  </si>
  <si>
    <t xml:space="preserve">2-1/2" GALV RIGID ELBOW 90 DEG </t>
  </si>
  <si>
    <t>2-1/2” THREADED COUPLING</t>
  </si>
  <si>
    <t>2-1/2” LIQ-TIGHT STRAIGHT CONN</t>
  </si>
  <si>
    <t>2-1/2" RA COND CLAMPS</t>
  </si>
  <si>
    <t>2-1/2" GRC CONDUIT</t>
  </si>
  <si>
    <t>B5-COND RACK</t>
  </si>
  <si>
    <t>2-1/2" LIQ-TIGHT FLEX</t>
  </si>
  <si>
    <t>GREENLEE BOX</t>
  </si>
  <si>
    <t>THHN 2/0 AWG STRANDED GREEN WIRE</t>
  </si>
  <si>
    <t>#2/0 AWG</t>
  </si>
  <si>
    <t>PALLET</t>
  </si>
  <si>
    <t>RIGID ELBOW 45 DEG,  GALV , 2-1/2"</t>
  </si>
  <si>
    <t xml:space="preserve">2-1/2" </t>
  </si>
  <si>
    <t>1-1/2" x 3/4" REDUCING BUSHING</t>
  </si>
  <si>
    <t>1-1/2" x 3/4"</t>
  </si>
  <si>
    <t>EC7-5</t>
  </si>
  <si>
    <t>M20 X 3/4" NPT ADAPTOR NICKEL PLATED</t>
  </si>
  <si>
    <t>M20 X 3/4"</t>
  </si>
  <si>
    <t>1-1/4" CHASE NIPPLE</t>
  </si>
  <si>
    <t>1-1/2" CHASE NIPPLE</t>
  </si>
  <si>
    <t>1-1/4" LOCKNUT</t>
  </si>
  <si>
    <t>1-1/2" LOCKNUT</t>
  </si>
  <si>
    <t>1-1/4" PLASTIC BUSHING</t>
  </si>
  <si>
    <t>1-1/2" PLASTIC BUSHING</t>
  </si>
  <si>
    <t>#4/0 AWG THHN BLACK STRANDED WIRE</t>
  </si>
  <si>
    <t>#4/0 AWG</t>
  </si>
  <si>
    <t>ORDERED PER JOB</t>
  </si>
  <si>
    <t>#4/0 AWG X 3/8" SINGLE COMP LUG</t>
  </si>
  <si>
    <t>2" CHASE NIPPLE</t>
  </si>
  <si>
    <t>2" LOCKNUT</t>
  </si>
  <si>
    <t>2" PLASTIC BUSHING</t>
  </si>
  <si>
    <t>CABLE</t>
  </si>
  <si>
    <t>18 AWG 600V 1 PAIR SHIELDED CABLE</t>
  </si>
  <si>
    <t>18-2 SINGLE PAIR SHLD CABLE 600 VOLTS</t>
  </si>
  <si>
    <t>WIRE RACK</t>
  </si>
  <si>
    <t>WIRE, 18AWG, 1PAIR, TRIAD, 600 VOLTS</t>
  </si>
  <si>
    <t xml:space="preserve">2" 3 PIECE KNOWCKOUT SEAL, CARBON STEEL </t>
  </si>
  <si>
    <t>2-1/2" CHASE NIPPLE</t>
  </si>
  <si>
    <t>2-1-2" LOCKNUT</t>
  </si>
  <si>
    <t>2-1/2" PLASTIC BUSHING</t>
  </si>
  <si>
    <t>#400 MCM X 5/8" SINGLE COMP LUG</t>
  </si>
  <si>
    <t>#3 AWG X 3/8" SINGLE COMP LUG</t>
  </si>
  <si>
    <t>QUICK DISCONNECT TERMINALS #16 TO #14 AWG .25" STUD 90 DEGREE</t>
  </si>
  <si>
    <t xml:space="preserve">16-14 AWG </t>
  </si>
  <si>
    <t>ELECTRICAL CABINET</t>
  </si>
  <si>
    <t>#350 MCM X 1/2" SINGLE COMPRESSION LUG</t>
  </si>
  <si>
    <t>1/2" HEX NUT STAINLESS STEEL</t>
  </si>
  <si>
    <t>P/N #6926K46</t>
  </si>
  <si>
    <t>2" ERICKSON FEMALE / FEMALE UNION HAZARDOUS LOCATION</t>
  </si>
  <si>
    <t>EC4-5</t>
  </si>
  <si>
    <t>3/4" PLASTIC BUSHING</t>
  </si>
  <si>
    <t>EC2-5</t>
  </si>
  <si>
    <t>#300 MCM X 1/2" SINGLE COMPRESSION LUG</t>
  </si>
  <si>
    <t xml:space="preserve">1/2" X 20" X 1-1/2" HEX CAP SCREW </t>
  </si>
  <si>
    <t>P/N #92241A435</t>
  </si>
  <si>
    <t>#3/0 AWG STRANDED WIRE GREEN</t>
  </si>
  <si>
    <t>#3/0 AWG</t>
  </si>
  <si>
    <t>#300 MCM X 5/8" SINGLE COMPRESSION LUG</t>
  </si>
  <si>
    <t>4" EMT CONDUIT</t>
  </si>
  <si>
    <t>4" EMT CONNECTOR COMPRESSION</t>
  </si>
  <si>
    <t>EC-3</t>
  </si>
  <si>
    <t>#350 MCM COMP LUG 5/8" STUD</t>
  </si>
  <si>
    <t>4" GROUNDING LOCKNUT</t>
  </si>
  <si>
    <t>4" SEALING RING</t>
  </si>
  <si>
    <t>4" LOCK RING</t>
  </si>
  <si>
    <t>1/2" STRUT STRAPS / EMT</t>
  </si>
  <si>
    <t>3/4" STRUT STRAPS  / EMP</t>
  </si>
  <si>
    <t>1" STRUT STRAPS  / EMT</t>
  </si>
  <si>
    <t>1-1/2" STRUT STRAPS EMT</t>
  </si>
  <si>
    <t>2" STRUT STRAPS / EMT</t>
  </si>
  <si>
    <t>2-1/2" STRUT STRAPS / EMT</t>
  </si>
  <si>
    <t>3" STRUT STRAPS / EMT</t>
  </si>
  <si>
    <t>3-1/2" STRUT STRAPS</t>
  </si>
  <si>
    <t>3-1/2"</t>
  </si>
  <si>
    <t>4" STRUT STRAPS / EMT</t>
  </si>
  <si>
    <t>4" LB MOGUL PULLING FITTING</t>
  </si>
  <si>
    <t>TO JOB NO STOCK</t>
  </si>
  <si>
    <t>4" EMT COMPRESSION COUPLING</t>
  </si>
  <si>
    <t>4" EMT 90 DEGREE ELBOW</t>
  </si>
  <si>
    <t>4" EMT 45 DEGREE ELBOW</t>
  </si>
  <si>
    <t>4" IP RATED SEALING RINGS</t>
  </si>
  <si>
    <t>4" EMT COMPRESSION CONNECTOR</t>
  </si>
  <si>
    <t>4" GROUNDING BUSHING</t>
  </si>
  <si>
    <t>4" CHASE NIPPLE</t>
  </si>
  <si>
    <t>4" PLASTIC BUSHING</t>
  </si>
  <si>
    <t>MISC</t>
  </si>
  <si>
    <t>3" X 4" x 3/8" DESSICANT BAGS</t>
  </si>
  <si>
    <t xml:space="preserve">3" X 4" </t>
  </si>
  <si>
    <t>M8 X 1.25 mm STAINLESS HEX NUTS</t>
  </si>
  <si>
    <t>#8 AWG THHN RED STRANDED WIRE</t>
  </si>
  <si>
    <t>#8 AWG</t>
  </si>
  <si>
    <t>#8 AWG THHN WHITE STRANDED WIRE</t>
  </si>
  <si>
    <t>ZIPTIES</t>
  </si>
  <si>
    <t>CABLE TIE 14.10" (L) X.29" (W) HD BLACK</t>
  </si>
  <si>
    <t>14.10" X.29"</t>
  </si>
  <si>
    <t>P/N 4014ST</t>
  </si>
  <si>
    <r>
      <t>#400 MCM X 5/8</t>
    </r>
    <r>
      <rPr>
        <sz val="10"/>
        <color rgb="FFFF0000"/>
        <rFont val="Aptos Narrow"/>
        <family val="2"/>
        <scheme val="minor"/>
      </rPr>
      <t>"</t>
    </r>
    <r>
      <rPr>
        <sz val="10"/>
        <rFont val="Aptos Narrow"/>
        <family val="2"/>
        <scheme val="minor"/>
      </rPr>
      <t xml:space="preserve"> SINGLE COMPRESSION LUG</t>
    </r>
  </si>
  <si>
    <t>2-1/2" NEMA 4 K.O. SEAL (3PC)</t>
  </si>
  <si>
    <t>need bin location</t>
  </si>
  <si>
    <t>2-1/2" NEMA 1 K.O. SEAL (3PC)</t>
  </si>
  <si>
    <t>4" LIQ TIGHT 90 DEGREE ELBOW</t>
  </si>
  <si>
    <t>LAPP-25 COND / 18 AWG 600 VOLT / MOTOR RTD CABLE</t>
  </si>
  <si>
    <t>LAPP P/N 60185</t>
  </si>
  <si>
    <t>1-1/4" ERICKSON FEMALE / FEMALE UNION NON HAZARDOUS</t>
  </si>
  <si>
    <t>ENCLOSUR</t>
  </si>
  <si>
    <t>10" x 10" x 6" CONT HINGE TYPE 4 WITH CLAMPS</t>
  </si>
  <si>
    <t>10" X 10" X 6"</t>
  </si>
  <si>
    <t>HOFF 10106 CHNF</t>
  </si>
  <si>
    <t>ENCLOSURE</t>
  </si>
  <si>
    <t xml:space="preserve">10" X 10" MOUNTING PANEL </t>
  </si>
  <si>
    <t>8.75 X 8.88</t>
  </si>
  <si>
    <t>HOFF A10P10</t>
  </si>
  <si>
    <t>2 X 20 AWG SINGLE PAIR SHLD CABLE 300 VOLTS</t>
  </si>
  <si>
    <t>20 AWG</t>
  </si>
  <si>
    <t>LAPP 302002S</t>
  </si>
  <si>
    <t>3/4"" ERICKSON FEMALE / FEMALE UNION NON HAZARDOUS</t>
  </si>
  <si>
    <t>1/2" ERICKSON FEMALE / FEMALE UNION NON HAZARDOUS</t>
  </si>
  <si>
    <t>1" ERICKSON FEMALE / FEMALE UNION NON HAZARDOUS</t>
  </si>
  <si>
    <t>MECHANICAL LUG #4 - 350 AWG RANGE</t>
  </si>
  <si>
    <t xml:space="preserve"> #4 - 350 AWG</t>
  </si>
  <si>
    <t>BURNK2A31U</t>
  </si>
  <si>
    <t>BLUE HEAT SHRINK .19" (3/16")</t>
  </si>
  <si>
    <t>.19"</t>
  </si>
  <si>
    <t>MCMASTER P/N #7856K44</t>
  </si>
  <si>
    <t>CONSUM</t>
  </si>
  <si>
    <t>INACTIVE PART NUMBER 09_22_25</t>
  </si>
  <si>
    <t>31-338</t>
  </si>
  <si>
    <t>3/4" SPLIT TUBING BLACK 100'/ ROLL</t>
  </si>
  <si>
    <t>1-1/4" SPLIT TUBING BLACK 100'/ ROLL</t>
  </si>
  <si>
    <t>RE BUSHING 3" X 2-1/2"</t>
  </si>
  <si>
    <t>3" X 2-1/2"</t>
  </si>
  <si>
    <t>2" EMT CONDUIT</t>
  </si>
  <si>
    <t>PIPE RACK</t>
  </si>
  <si>
    <t>2" EMT COMP COUPLINGS</t>
  </si>
  <si>
    <t>2" EMT COM CONNECTORS</t>
  </si>
  <si>
    <t>2" 90 DEGREE EMT ELBOWS</t>
  </si>
  <si>
    <t>2" EMT 45 DEGREE ELBOWS</t>
  </si>
  <si>
    <t>#1/0 AWG X 1/2" SINGLE COMP LUGS</t>
  </si>
  <si>
    <t>HEATSHNK</t>
  </si>
  <si>
    <t>3/16" GREEN / YELLOW HEAT SHRINK</t>
  </si>
  <si>
    <t>#4/0 AWG X 5/16" SINGLE COMP LUGS</t>
  </si>
  <si>
    <t>#4/0 AWG X 1/4" SINGLE COMP LUGS</t>
  </si>
  <si>
    <t xml:space="preserve">1/4" </t>
  </si>
  <si>
    <t>12-4 600 VOLT UN-SHLD CABLE</t>
  </si>
  <si>
    <t>12-4 COND</t>
  </si>
  <si>
    <t>16-6 600 VOLT UN-SHLD CABLE</t>
  </si>
  <si>
    <t>16-6 COND</t>
  </si>
  <si>
    <t>16-2 SINGLE PAIR SHLD CABLE 600 VOLTS</t>
  </si>
  <si>
    <t>16-2 COND</t>
  </si>
  <si>
    <t>1/2" NPT BLACK NYLON CORD GRIP (.39-.55)</t>
  </si>
  <si>
    <t>WIRE, #1/0 AWG, THHN, BLACK</t>
  </si>
  <si>
    <t>3/4" NPT PLASTIC LOCKNUT</t>
  </si>
  <si>
    <t>3/4" NPT O-RING</t>
  </si>
  <si>
    <t>3/4" NPT BLACK NYLON CORD GRIP (.35-.63)</t>
  </si>
  <si>
    <t xml:space="preserve">3/4" </t>
  </si>
  <si>
    <t>SEALCON P/N CD21NR-BK</t>
  </si>
  <si>
    <t>NEXT AVAIL</t>
  </si>
  <si>
    <t>3/8" X 1/4" SQUARE WASHERS PLATED STEEL</t>
  </si>
  <si>
    <t>1/4" SPLIT TUBING BLACK</t>
  </si>
  <si>
    <t>1/8" RED HEAT SHRINK</t>
  </si>
  <si>
    <t>1/8"</t>
  </si>
  <si>
    <t>2" BLACK HEAT SHRINK (1-1/4" O.D 2" FLAT)</t>
  </si>
  <si>
    <t>MIL-I-23053/5-0, B2 1-1/4" Black, 200'/Spool</t>
  </si>
  <si>
    <t>RITTAL WM201608N4 WALL  MOUNTED STAINLESS STEEL NEMA 4X, IP 66 WITH MOUNTING PLATE ENCLOSURE</t>
  </si>
  <si>
    <t>ORDERED TO JOB</t>
  </si>
  <si>
    <t>WM201608N4</t>
  </si>
  <si>
    <t xml:space="preserve">CONDUIT BODY GASKET 4" </t>
  </si>
  <si>
    <t xml:space="preserve">MEDIUM PRESSURE 303 STAINLESS PIPE ADAPTOR 1/4"-28 FEMALE PIPE FITTING </t>
  </si>
  <si>
    <t>1/4-28X3/4"</t>
  </si>
  <si>
    <t>MCMASTER P/N 2684K333</t>
  </si>
  <si>
    <t>4" CLOSE NIPPLE</t>
  </si>
  <si>
    <t>HARDWARE</t>
  </si>
  <si>
    <t>FLAT WASHER,3/4", SS</t>
  </si>
  <si>
    <t>#400 MCM X 1/2" SINGLE COMPRESSION LUG</t>
  </si>
  <si>
    <t>EPDM #2/0 AWG 600 VOLT CABLE HIGH FLEXIBLILTY</t>
  </si>
  <si>
    <t xml:space="preserve">#2/0 </t>
  </si>
  <si>
    <t>McMaster P/N 6948K96</t>
  </si>
  <si>
    <t>#2/0 X 1/2"  SINGLE COMPRESION LUG</t>
  </si>
  <si>
    <t>#2/0</t>
  </si>
  <si>
    <t>McMaSTER P/N 6896K17</t>
  </si>
  <si>
    <t>3/4" LIQ TIGHT STRAIGHT CONN / NO GROUND</t>
  </si>
  <si>
    <t>3/4" LIQ TIGHT 90 DEG ELBOW / NO GROUND</t>
  </si>
  <si>
    <t>CHANNEL TRAY</t>
  </si>
  <si>
    <t>2" x 4" ALUMINUM CHANNEL TRAY BLIND END PLATE</t>
  </si>
  <si>
    <t>2" x 4" ALUMINUM CHANNEL TRAY FLANGED SOLID COVER</t>
  </si>
  <si>
    <t>2" x 4" ALUMINUM CHANNEL TRAY COVER STRAP / 2 PIECES PER ASSEMBLY</t>
  </si>
  <si>
    <t>2" x 4" ALUMINUM CHANNEL TRAY</t>
  </si>
  <si>
    <t>2" PLASTIC PROTECTIVE BUSHING FOR CHANNEL TRAY</t>
  </si>
  <si>
    <t>1-5/8" x 7/8" SOLID 316 STAINLESS STEEL UNISTRUT 10' LENGTH</t>
  </si>
  <si>
    <t>MCMASTER P/N 33085T96</t>
  </si>
  <si>
    <t>3/8" X 13-16" 316 STAINLESS STEEL SPRING NUT</t>
  </si>
  <si>
    <t>MCMASTER P/N 3259T27</t>
  </si>
  <si>
    <t>3/8"-16 X 5/8" 316 STAINLESS STEEL HEX HEAD SCREW</t>
  </si>
  <si>
    <t>MCMASTER P/N 93190A621</t>
  </si>
  <si>
    <t>OKONITE 16 AWG 1PAIR SHIELDED 600 VOLT CABLE / P/N 264-60-4401</t>
  </si>
  <si>
    <t>P/N 264-60-4401</t>
  </si>
  <si>
    <t>OKONITE 16 AWG 1TRIAD SHIELDED 600 VOLT CABLE / P/N 264-65-4401</t>
  </si>
  <si>
    <t>P/N 264-65-4401</t>
  </si>
  <si>
    <t>FLAT BAR</t>
  </si>
  <si>
    <t xml:space="preserve">FLAT BAR, 316 STAINLESS STEEL, 1" X 1/8" X 10' </t>
  </si>
  <si>
    <t>NEXT AVAILABLE</t>
  </si>
  <si>
    <t>CHANNEL TRAY BONDING JUMPER 600 AMPS</t>
  </si>
  <si>
    <t>BLINE 99-N1</t>
  </si>
  <si>
    <t>1/6" VIOLET HEAT SHRINK</t>
  </si>
  <si>
    <t>EC-CABINET</t>
  </si>
  <si>
    <t>3/8" BLUE HEAT SHRINK</t>
  </si>
  <si>
    <t>OLFLEX 18 AWG, 12 CONDUCTOR, 1 GROUND RTD CABLE</t>
  </si>
  <si>
    <t>LAPP CABLE P/N 601812</t>
  </si>
  <si>
    <t>OLFLEX 18 AWG, 18 CONDUCTOR, 1 GROUND RTD CABLE</t>
  </si>
  <si>
    <t>LAPP CABLE P/N 601818</t>
  </si>
  <si>
    <t>TERMINAL FITTINGS, SINGLE COMP LUG, #6 AWG, 3/8" STUD</t>
  </si>
  <si>
    <t>MCMASTER CARR P/N 6926K37</t>
  </si>
  <si>
    <t>10-24 X 2-3/4" LONG SOCKET HEAD CAP SCREW, ALLOY STEEL</t>
  </si>
  <si>
    <t>3" LIQ TIGHT STRAIGHT CONNECTOR</t>
  </si>
  <si>
    <t>INACTIVE</t>
  </si>
  <si>
    <t>HOFFMAN HOLE PLUG</t>
  </si>
  <si>
    <t>1/2" HOFFMAN HOLE PLUG 3 PIECE TYPE 4</t>
  </si>
  <si>
    <t>3/4" HOFFMAN HOLE PLUG 3 PIECE TYPE 4</t>
  </si>
  <si>
    <t>1" HOFFMAN HOLE PLUG 3 PIECE TYPE 4</t>
  </si>
  <si>
    <t>1/2" CONDBODY COVER GASKET CROUSE HINDS GK50N</t>
  </si>
  <si>
    <t xml:space="preserve">1/2" CONDBODY COVER GASKET </t>
  </si>
  <si>
    <t>INCATIVE</t>
  </si>
  <si>
    <t>3/4 " CONDBODY COVER GASKET CROUSE HINDS GK75N</t>
  </si>
  <si>
    <t>3/4" CONDBODY COVER COVER / INACTIVE</t>
  </si>
  <si>
    <t>INACTIVE 10/07/25</t>
  </si>
  <si>
    <t>1-1/4" rigid COND coupling</t>
  </si>
  <si>
    <t>1-1/4" RIGID COND COUPLING</t>
  </si>
  <si>
    <t>1 1/4" x 1/2" ELECTRICAL RE BUSHING</t>
  </si>
  <si>
    <t>1-1/4" x 1/2" RE BUSHING</t>
  </si>
  <si>
    <t>CROUSE-HINDS METALIC SEALTIGHT 90 DEG.</t>
  </si>
  <si>
    <t>1-1/2" LIQ-TIGHT 90 DEG CONN / WITH GROUND</t>
  </si>
  <si>
    <t>DESCRIPTION CHANGE</t>
  </si>
  <si>
    <t>1 1/2" LIQ-TIGHT 90 DEG CONN</t>
  </si>
  <si>
    <t>OMI CABLE A11403 14/3 TCER</t>
  </si>
  <si>
    <t>14/3 TCER 600V / DIGITAL HEATER CABLE</t>
  </si>
  <si>
    <t>B5- COND RACK</t>
  </si>
  <si>
    <t>MOLEX 2 SCREW 12 CIRCUIT TERMFITTINAL STRIP</t>
  </si>
  <si>
    <t>2 SCREW 12 CIRCUIT TERM STRIP</t>
  </si>
  <si>
    <t>EC4-3</t>
  </si>
  <si>
    <t>BLACK HEAT SHRINK TUBING</t>
  </si>
  <si>
    <t>3/8" BLACK HEAT SHRINK TUBING</t>
  </si>
  <si>
    <t>CABINET</t>
  </si>
  <si>
    <t>BRADY BMP-21+ PRINTER LABELS</t>
  </si>
  <si>
    <t>1/2" BRADY BMP-21+ PRINTER LABELS</t>
  </si>
  <si>
    <t>SEALCON 1/2" NPT 1 HOLE .28" CORDGRIP</t>
  </si>
  <si>
    <t xml:space="preserve">1/2" CORDGRIP X 1 HOLE 0.28" </t>
  </si>
  <si>
    <t>SEALCON 3/4" NPT 2 HOLE .31" CORDGRIP</t>
  </si>
  <si>
    <t xml:space="preserve">3/4" CORDGRIP 2 HOLES 0.31" </t>
  </si>
  <si>
    <t>SEALCON 1" NPT 4 HOLE .37" CORDGRIP</t>
  </si>
  <si>
    <t xml:space="preserve">1" CORDGRIP X 4 HOLES 0.37" </t>
  </si>
  <si>
    <t>CROUSE-HINDS, 1/2" NPT, 90 deg, 0.35"-0.45", STRAIN RELIEF CORD GRIP CG5090-450</t>
  </si>
  <si>
    <t>1/2" 90 DEG CORDGRIP X 1 HOLE 0.35"-0.45"</t>
  </si>
  <si>
    <t>CROUSE-HINDS, 1/2" NPT, 90 deg, 0.25"-0.35", STRAIN RELIEF CORD GRIP</t>
  </si>
  <si>
    <t>1/2" 90 DEG CORDGRIP X 1 HOLE 0.25"-0.35"</t>
  </si>
  <si>
    <t>CROUSE-HINDS 1/2" NPT MALE/FEM SHORT COND ELB CLASS 1 DIV 11 (EL196)</t>
  </si>
  <si>
    <t xml:space="preserve">1/2" NPT MALE / FEM SHORT COND ELB </t>
  </si>
  <si>
    <t>CROUSE HINDS 1-1/4 &amp; 1-1/2" MALL CONDBODY COVERS, SCREW TYPE</t>
  </si>
  <si>
    <t xml:space="preserve">1-1/4" MALL COND BODY COVER / FM7 </t>
  </si>
  <si>
    <t>FORK TERMFITTINAL 18-14 AWG WIRE</t>
  </si>
  <si>
    <t>FORK TERMFITTINAL 18-14 AWG WIRE / RED</t>
  </si>
  <si>
    <t>18-14 AWG</t>
  </si>
  <si>
    <t>FORK TERMFITTINAL 16-14 AWG WIRE  MCMASTER CARR P/N: 69145K74</t>
  </si>
  <si>
    <t>FORK TERMFITTINAL 16-14 AWG WIRE / BLUE</t>
  </si>
  <si>
    <t>CROUSE-HINDS 90 DEG. PULL ELB M/F</t>
  </si>
  <si>
    <t>1/2" 90 DEG. PULL ELB FEM / FEM NON HAZ LOC</t>
  </si>
  <si>
    <t>1/2" MALE / FEM PULLING ELB</t>
  </si>
  <si>
    <t>1/2" 90 DEGREE PULLING ELBOW</t>
  </si>
  <si>
    <t>1/2" 90 COND CORNER ELB   FF050</t>
  </si>
  <si>
    <t>1/2" 90 DEG ELB / FEM / FEM HAZ LOC</t>
  </si>
  <si>
    <t>RIGID GALVANIZED COND</t>
  </si>
  <si>
    <t xml:space="preserve">1/2" GRC CONDUIT </t>
  </si>
  <si>
    <t>1/2" THREADED GRC COUPLING</t>
  </si>
  <si>
    <t>CONDSUPP</t>
  </si>
  <si>
    <t>1/2" COND CLAMPS CROUS- HINDS RAC50HD</t>
  </si>
  <si>
    <t>1/2" RA COND CLAMPS</t>
  </si>
  <si>
    <t>3/4" MALL RA CLAMP</t>
  </si>
  <si>
    <t>DUPLICATE PART</t>
  </si>
  <si>
    <t xml:space="preserve">1" MEYERS HUB </t>
  </si>
  <si>
    <t>LOCK RING</t>
  </si>
  <si>
    <t>1/2" LOCK RING</t>
  </si>
  <si>
    <t>3M BLACK 33+ ELECTRICAL TAPE</t>
  </si>
  <si>
    <t>DUPLICATE</t>
  </si>
  <si>
    <t>ORANGE WIRE NUT</t>
  </si>
  <si>
    <t>3/4" X CLOSE COND NIPPLE</t>
  </si>
  <si>
    <t>3/4" GRC CLOSE NIPPLE</t>
  </si>
  <si>
    <t>RIGID CONDCOND CLOSE NIPPLE</t>
  </si>
  <si>
    <t>1/2" GRC CLOSE NIPPLE</t>
  </si>
  <si>
    <t>ELEC GALV NIPPLE .5" X 3"</t>
  </si>
  <si>
    <t>1/2" X 3" GRC NIPPLE</t>
  </si>
  <si>
    <t>1/2" x 4" GRC Nipple</t>
  </si>
  <si>
    <t>1/2" X 6" NIPPLE</t>
  </si>
  <si>
    <t>OBSOLETE</t>
  </si>
  <si>
    <t>#3/0 AWG GREEN STRANDED WIRE</t>
  </si>
  <si>
    <t>#14 AWG TFFN RED STRANDED WIRE</t>
  </si>
  <si>
    <t>#14 AWG</t>
  </si>
  <si>
    <t>#14 AWG THHN WHITE STRANDED WIRE</t>
  </si>
  <si>
    <t>MALE / FEM VIBRATION ISOLATOR</t>
  </si>
  <si>
    <t xml:space="preserve">5/16"-18 VIBRATION ISOLATOR </t>
  </si>
  <si>
    <t>MOVE TO CAGE AREA</t>
  </si>
  <si>
    <t>CABLE TIE 11 3/4" l-11-50-O-C  **BLACK**</t>
  </si>
  <si>
    <t>CABLE TIE 11" BLACK</t>
  </si>
  <si>
    <t>11"</t>
  </si>
  <si>
    <t>RED WASHER</t>
  </si>
  <si>
    <t xml:space="preserve">3/4" TO 1/2" RED WASHER </t>
  </si>
  <si>
    <t>REWASH</t>
  </si>
  <si>
    <t>1" X 3/4" RE WASHER</t>
  </si>
  <si>
    <t xml:space="preserve">1" X 3/4" </t>
  </si>
  <si>
    <t>1" THREADED COUPLING</t>
  </si>
  <si>
    <t>ADDED TO MASTER LIST</t>
  </si>
  <si>
    <t>1/2" CHASE NIPPLE</t>
  </si>
  <si>
    <t>3/4" CHASE NIPPLE</t>
  </si>
  <si>
    <t>1" X CLOSE COND NIPPLE</t>
  </si>
  <si>
    <t>1" GRC CLOSE  NIPPLE</t>
  </si>
  <si>
    <t>RED WIRE NUTS</t>
  </si>
  <si>
    <t>RED WIRE NUTS #18 AWG -#10 AWG</t>
  </si>
  <si>
    <t>18-10 AWG</t>
  </si>
  <si>
    <t>RED WIRE NUT</t>
  </si>
  <si>
    <t>YELLOW WIRE NUT</t>
  </si>
  <si>
    <t>1/2" X 5" NIPPLE</t>
  </si>
  <si>
    <t xml:space="preserve">1" GRC CONDUIT </t>
  </si>
  <si>
    <t>1-1/4" GRC CONDUIT</t>
  </si>
  <si>
    <t>RE BUSHING 1.25" x 1"</t>
  </si>
  <si>
    <t xml:space="preserve">1-1/4" x 1" RE BUSHING </t>
  </si>
  <si>
    <t xml:space="preserve">3/4" GRC CONDUIT </t>
  </si>
  <si>
    <t>3/4" LOCK RING</t>
  </si>
  <si>
    <t>1" LOCK RING</t>
  </si>
  <si>
    <t>RE BUSHING 1" x 1/2" TOPAZ RB3</t>
  </si>
  <si>
    <t>1" x 1/2" RE BUSHING</t>
  </si>
  <si>
    <t>CROUSE-HINDS RE BUSHING</t>
  </si>
  <si>
    <t>1" X 3/4" RE BUSHING</t>
  </si>
  <si>
    <t>CROUSE-HINDS 3/4"- 1/2" NPT RE BUSHING CLASS 1 DIV 11 (RE21)</t>
  </si>
  <si>
    <t>3/4" X 1/2" RE BUSHING / INACTIVE</t>
  </si>
  <si>
    <t>1" COND CLAMPS  CROUS-HINDS  RAC100HD</t>
  </si>
  <si>
    <t>1" RA COND CLAMPS</t>
  </si>
  <si>
    <t>#14 AWG THHN BLACK STRANDED WIRE</t>
  </si>
  <si>
    <t>3/4" COND CLAMP # RAC75HD</t>
  </si>
  <si>
    <t>3/4" RA COND CLAMPS</t>
  </si>
  <si>
    <t>1 1/4" EMT STRUT STRAPS</t>
  </si>
  <si>
    <t>1-1/4" GRC STRUT STRAPS</t>
  </si>
  <si>
    <t>3/4" EMT STRUT STRAPS</t>
  </si>
  <si>
    <t>3/4" GRC STRUT STRAPS</t>
  </si>
  <si>
    <t>1-5/8" x 3-1/4" PLASTIC STRUT END CAP BLACK</t>
  </si>
  <si>
    <t>1-5/8" x 3-1/4"</t>
  </si>
  <si>
    <t>MCMASTER P/N 3312T74</t>
  </si>
  <si>
    <t>BLACK STRUT END CAP 1 5/8" X 1 5/8"</t>
  </si>
  <si>
    <t>1-5/8" x 1-5/8" BLACK STRUT END CAP</t>
  </si>
  <si>
    <t>1-5/8"</t>
  </si>
  <si>
    <t>#4 AWG  THHN BLACK STRANDED WIRE</t>
  </si>
  <si>
    <t>#4 AWG</t>
  </si>
  <si>
    <t>#6 AWG THHN BLACK STRANDED WIRE</t>
  </si>
  <si>
    <t>#6 AWG</t>
  </si>
  <si>
    <t>1-1/4'' COND CLAMP (CROUS-HINDS RAC125HD)</t>
  </si>
  <si>
    <t>1-1/4'' RA COND CLAMPS</t>
  </si>
  <si>
    <t>1-1/2" LIQ-TIGHT FLEX</t>
  </si>
  <si>
    <t>CROUSE-HINDS METALIC STRAIGHT CONN.</t>
  </si>
  <si>
    <t>1-1/2" LIQ-TIGHT STRAIGHT CONN</t>
  </si>
  <si>
    <t>CROUSE-HINDS METALIC SEALTIGHT 45 DEG.</t>
  </si>
  <si>
    <t>1-1/2" LIQ-TIGHT 45 DEG CONN</t>
  </si>
  <si>
    <t>1-1/2" MALL RA CLAMP</t>
  </si>
  <si>
    <t>BELDEN 3089A 18/1 TRI THHN-600V BK.</t>
  </si>
  <si>
    <t>18 AWG 1 PAIR TRI THHN-600V / RED/BLK/WHT</t>
  </si>
  <si>
    <t>1-1/2" RIDGID THREADED COUPLING</t>
  </si>
  <si>
    <t>1-1/2" X 1-1/4" RE BUSHING</t>
  </si>
  <si>
    <t>1-1/2" GRC CONDUIT</t>
  </si>
  <si>
    <t>SMALL BLUE WIRE NUTS</t>
  </si>
  <si>
    <t>BLUE WIRE NUTS #22 AWG - #16 AWG</t>
  </si>
  <si>
    <t>22-16 AWG</t>
  </si>
  <si>
    <t>#16 AWG AWG AWG TFFN BLACK STRANDED WIRE</t>
  </si>
  <si>
    <t>#16 AWG</t>
  </si>
  <si>
    <t>#16 AWG AWG TFFN RED STRANDED WIRE</t>
  </si>
  <si>
    <t>#16 AWG AWG TFFN WHITE STRANDED WIRE</t>
  </si>
  <si>
    <t>#16 AWG AWG TFFN GREEN STRANDED WIRE</t>
  </si>
  <si>
    <t>#16 AWG AWG TFFN GREY STRANDED WIRE</t>
  </si>
  <si>
    <t>#16 AWG AWG TFFN BLUE STRANDED WIRE</t>
  </si>
  <si>
    <t>#6 AWG THHN GREEN STRANDED WIRE</t>
  </si>
  <si>
    <t>COND SEALING RING</t>
  </si>
  <si>
    <t>1-1/2" LIQ-TIGHT SEALING RING</t>
  </si>
  <si>
    <t>#16 AWG AWG TFFN YELLOW STRANDED WIRE</t>
  </si>
  <si>
    <t>1 1/4" x close COND nipple</t>
  </si>
  <si>
    <t>1-1/4" GRC  CLOSE NIPPLE</t>
  </si>
  <si>
    <t>#16 AWG AWG TFFN GREEN / YELLOW STRIPE STRANDED WIRE</t>
  </si>
  <si>
    <t>#16 AWG AWG TFFN WHITE / BLUE STRIPE STRANDED WIRE</t>
  </si>
  <si>
    <t>3/4" X 3" COND NIPPLE</t>
  </si>
  <si>
    <t>3/4" X 3" GRC NIPPLE</t>
  </si>
  <si>
    <t>3/4" X 4" COND NIPPLE</t>
  </si>
  <si>
    <t>3/4" X 4" GRC NIPPLE</t>
  </si>
  <si>
    <t>3/4" X 5" GRC NIPPLE</t>
  </si>
  <si>
    <t>3/4" X 6" GRC NIPPLE</t>
  </si>
  <si>
    <t>3-1/4"x1-5/8"X20' GREEN PAINTED SOLID STRUT CHANNEL</t>
  </si>
  <si>
    <t>3-1/4" X 1-5/8" X 20' GREEN PAINTED SOLID STRUT CHANNEL</t>
  </si>
  <si>
    <t>3-1/4"</t>
  </si>
  <si>
    <t>1" X 3" GRC COND NIPPLE</t>
  </si>
  <si>
    <t>1" X 3"</t>
  </si>
  <si>
    <t>1" X 4" COND NIPPLE</t>
  </si>
  <si>
    <t>1" X 4" GRC NIPPLE</t>
  </si>
  <si>
    <t>1" X 5" GRC COND NIPPLE</t>
  </si>
  <si>
    <t>1" X 5"</t>
  </si>
  <si>
    <t>1" X 6" GRC COND NIPPLE</t>
  </si>
  <si>
    <t>1" X 6"</t>
  </si>
  <si>
    <t>1-1/2"x CLOSE NIPPLE</t>
  </si>
  <si>
    <t>1-1/2"x 1 1/4" RE BUSHING</t>
  </si>
  <si>
    <t>ADD BIN LOCATION</t>
  </si>
  <si>
    <t>1-5/8" STRUT BLACK PLASTIC COVER</t>
  </si>
  <si>
    <t xml:space="preserve">1-5/8" </t>
  </si>
  <si>
    <t>(Mcmaster carr 3204T96)</t>
  </si>
  <si>
    <t>DELETED</t>
  </si>
  <si>
    <t>VERTICAL BLACK PLASTIC COVER</t>
  </si>
  <si>
    <t>UNISTRUT BLACK PLASTIC COVER 10 FT. LENGTH</t>
  </si>
  <si>
    <t>1-5/8" x 1-5/8" SLOTTED STRUT MULTI HOLE</t>
  </si>
  <si>
    <t>1-5/8" x 1-5/8</t>
  </si>
  <si>
    <t>1-5/8" x 1-5/8" SOLID STRUT</t>
  </si>
  <si>
    <t>UNIT STRUT  GREEN PAITED STEEL</t>
  </si>
  <si>
    <t>1-5/8" X 1-5/8" UNISTRUT GREEN PAINTED STEEL</t>
  </si>
  <si>
    <t>1-5/8" X 3-1/4" SOLID UNISTRUT GREEN PAINTED STEEL</t>
  </si>
  <si>
    <t>CROUSE-HINDS, 1/2" NPT, 45 deg, 0.45", STRAIN RELIEF CORD GRIP</t>
  </si>
  <si>
    <t>1/2" 45 DEG CORDGRIP X 1 HOLE 0.45"</t>
  </si>
  <si>
    <t>CROUSE-HINDS MEYERS HUB (GROUND)</t>
  </si>
  <si>
    <t xml:space="preserve">1-1/2" MEYERS HUB </t>
  </si>
  <si>
    <t>CROUSE-HINDS VER./HOR. M/F SEAL CONDFITT</t>
  </si>
  <si>
    <t>1-1/4"  MALL SEAL OFF COND FITT EYS / VERT - HORIZONTLE</t>
  </si>
  <si>
    <t>CROUSE-HINDS, 1 1/4" HAZARDOUS LOCATION MEYERSS HUB (STGK4)</t>
  </si>
  <si>
    <t>1-1/4" MEYERS HUB</t>
  </si>
  <si>
    <t xml:space="preserve">3/4" MEYERS HUB </t>
  </si>
  <si>
    <t>MEYERS HUB (GROUND)</t>
  </si>
  <si>
    <t xml:space="preserve">1/2" MEYERS HUB </t>
  </si>
  <si>
    <t>1/2" MALL COND BODY GASKET / FM7</t>
  </si>
  <si>
    <t>CROUSE-HINDS  VER./HOR. M/F SEAL CONDFITT</t>
  </si>
  <si>
    <t>1/2"  MALL SEAL OFF CONDUIT FITTING EYS</t>
  </si>
  <si>
    <t>1 1/2" MALL  VERTICAL/HORIZONTAL  SEAL CONDFITT  FEM/FEM</t>
  </si>
  <si>
    <t>1-1/2" MALL SEAL OFF COND FITT EYS</t>
  </si>
  <si>
    <t>CROUSE-HINDS MALL T CONDBODY</t>
  </si>
  <si>
    <t>1/2" MALL T COND BODY</t>
  </si>
  <si>
    <t>CROUSE-HINDS MALL LB CONDBODY</t>
  </si>
  <si>
    <t>1/2" MALL LB COND BODY</t>
  </si>
  <si>
    <t>1/2" MALL COND BODY COVER / FM7</t>
  </si>
  <si>
    <t>1/2" MALL LR COND BODY</t>
  </si>
  <si>
    <t>1/2" MALL UNION MALE/FEM  CROUS-HINDS UNY-105</t>
  </si>
  <si>
    <t>1/2" MALL UNION MALE / FEM UNY HAZ LOCATION</t>
  </si>
  <si>
    <t>1/2" UNION MALE / FEM HAZ LOC</t>
  </si>
  <si>
    <t>T &amp; B SHORT COND ELB</t>
  </si>
  <si>
    <t>1/2" SHORT COND ELB MALE / FEM NON HAZ LOC</t>
  </si>
  <si>
    <t>DRAIN BREATHER</t>
  </si>
  <si>
    <t>1/2" DRAIN BREATHER</t>
  </si>
  <si>
    <t>1/2" LIQ-TIGHT 45 DEG CONN / WITH GROUND</t>
  </si>
  <si>
    <t>CROUSE-HINDS METALIC  SEALTIGHT 90 DEG.</t>
  </si>
  <si>
    <t>1/2" LIQ-TIGHT 90 DEG CONN / WITH GROUND</t>
  </si>
  <si>
    <t>DESCRPTION CHANGE / IN TWO BINS</t>
  </si>
  <si>
    <t>1/2" LIQ-TIGHT STRAIGHT CONN / WITH GROUND</t>
  </si>
  <si>
    <t>LIQTIGHT SEAL RING ASSY. T &amp; B</t>
  </si>
  <si>
    <t xml:space="preserve">1/2" LIQ-TIGHT SEAL RING </t>
  </si>
  <si>
    <t>1/2" FLEX COND METALLIC **MUST BE UL LISTED**</t>
  </si>
  <si>
    <t xml:space="preserve">1/2" LIQ-TIGHT FLEX COND </t>
  </si>
  <si>
    <t>METALIC SEALING RING UL LISTED SEALTIGHT</t>
  </si>
  <si>
    <t xml:space="preserve">1-1/4" LIQ-TIGHT SEALING RING </t>
  </si>
  <si>
    <t>CROUSE-HINDS MALL X CONDBODY</t>
  </si>
  <si>
    <t>1-1/4" MALL X COND BODY</t>
  </si>
  <si>
    <t>CROUSE-HINDSMALL T CONDBODY</t>
  </si>
  <si>
    <t>CRHI T150M 1-1/2" MALL CONDBODY</t>
  </si>
  <si>
    <t>1-1/2" MALL T COND BODY</t>
  </si>
  <si>
    <t>1"  MALL T COND BODY</t>
  </si>
  <si>
    <t>CRHI T75M 3/4" MALL "T" CONDBODY</t>
  </si>
  <si>
    <t>3/4" MALL T COND BODY</t>
  </si>
  <si>
    <t>1/2" MALL C CONDUIT BODY</t>
  </si>
  <si>
    <t>CRHI X100M 1" MALL "X" CONDBODY</t>
  </si>
  <si>
    <t>1" MALL X COND BODY</t>
  </si>
  <si>
    <t>3/4" MALL VERT / HORIZ SEAL COND FITT</t>
  </si>
  <si>
    <t>3/4"  MALL SEAL OFF COND FITT EYS</t>
  </si>
  <si>
    <t>3/4" MALL CONDBODY COVER CROUSE-HINDS K75M</t>
  </si>
  <si>
    <t>3/4" MALL COND BODY COVER / SCREW TYPE</t>
  </si>
  <si>
    <t>CROUSE- HINDS MALL X CONDBODY</t>
  </si>
  <si>
    <t xml:space="preserve">3/4" MALL X COND BODY </t>
  </si>
  <si>
    <t>CROUSE-HINDS MALL TB CONDBODY</t>
  </si>
  <si>
    <t>3/4" MALL TB COND BODY</t>
  </si>
  <si>
    <t>CROUSE-HINDS STEEL UNION</t>
  </si>
  <si>
    <t>3/4" UNION MALE / FEM UNY</t>
  </si>
  <si>
    <t>3/4" MALE / FEM 90 DEG SHORT ELB HAZ LOC</t>
  </si>
  <si>
    <t>3/4" LIQ-TIGHT  45 DEG CONN / GROUND</t>
  </si>
  <si>
    <t>3/4" LIQ-TIGHT 90 DEG CONN / WITH GROUND</t>
  </si>
  <si>
    <t>3/4" LIQ-TIGHT STRAIGHT CONN / GROUND</t>
  </si>
  <si>
    <t>DESCRIPTION CHANGE TWO BIN LOCATION</t>
  </si>
  <si>
    <t xml:space="preserve">3/4" LIQ-TIGHT SEAL RING </t>
  </si>
  <si>
    <t>3/4" FLEX COND METALLIC **MUST BE UL LISTED**</t>
  </si>
  <si>
    <t xml:space="preserve">3/4" LIQ-TIGHT FLEX COND  </t>
  </si>
  <si>
    <t>1" neoprene cover gasket (Topaz 583)</t>
  </si>
  <si>
    <t>1" CONDUIT BODY GASKET SCREW TYPE</t>
  </si>
  <si>
    <t>1"  MALL SEAL OFF COND FITT EYS</t>
  </si>
  <si>
    <t>1" MALL CONDBODY COVER CROUSE-HINDS K100M</t>
  </si>
  <si>
    <t>1" MALL COND BODY COVER / SCREW TYPE</t>
  </si>
  <si>
    <t>TWO DIFFERENT BINS</t>
  </si>
  <si>
    <t>1" COND BODY COVER / FM7</t>
  </si>
  <si>
    <t>CROUSE-HINDS UNY-305 1” MALE/FEM UNION</t>
  </si>
  <si>
    <t>1” MALE / FEM UNION UNY</t>
  </si>
  <si>
    <t xml:space="preserve">1" LIQ-TIGHT 45 DEG CONN  </t>
  </si>
  <si>
    <t xml:space="preserve">DESC CHANGE </t>
  </si>
  <si>
    <t xml:space="preserve">1" LIQ-TIGHT LIQ TIGHT 90 DEG CONN  </t>
  </si>
  <si>
    <t xml:space="preserve">1" LIQ-TIGHT STRAIGHT CONN  </t>
  </si>
  <si>
    <t xml:space="preserve">1" LIQ-TIGHT SEAL RING </t>
  </si>
  <si>
    <t>1" LIQ-TIGHT FLEX</t>
  </si>
  <si>
    <t>1-1/4" COND BODY COVER GASKET / SCREW TYPE</t>
  </si>
  <si>
    <t>1-1/4" LIQ-TIGHT 45 DEG CONN</t>
  </si>
  <si>
    <t xml:space="preserve">1-1/4" LIQ-TIGHT 90 DEG CONN </t>
  </si>
  <si>
    <t>CROUSE- HINDS METALIC STRAIGHT CONN.</t>
  </si>
  <si>
    <t xml:space="preserve">1-1/4" LIQ-TIGHT STRAIGHT CONN </t>
  </si>
  <si>
    <t>1-1/4" CONDUIT SEALING RING</t>
  </si>
  <si>
    <t>EC6-4</t>
  </si>
  <si>
    <t>3M VARNISHED CABRICK TAPE WITH ADHESIVE SCOTCH 2520</t>
  </si>
  <si>
    <t xml:space="preserve">3M RUBBER SPLICING TAPE SCOTCH 3/4" 130C </t>
  </si>
  <si>
    <t>1/2" CONDUIT ADAPATOR FOR 4-WAY CONTROL VALVE</t>
  </si>
  <si>
    <t>MOVE TO 400 CAGE AREA</t>
  </si>
  <si>
    <t xml:space="preserve">TAPE </t>
  </si>
  <si>
    <t>TEFLON TAPE 1/2" X 260 FT</t>
  </si>
  <si>
    <t>COUPLING</t>
  </si>
  <si>
    <t>1/4" NPT CARBON STEEL COUPLING</t>
  </si>
  <si>
    <t xml:space="preserve">NIPPLE </t>
  </si>
  <si>
    <t xml:space="preserve">1/4" NPT CARBON STEEL CLOSE NIPPLE </t>
  </si>
  <si>
    <t>COLD/GALVANIZED SPRAY</t>
  </si>
  <si>
    <t>HI-COLLAR L/W</t>
  </si>
  <si>
    <t>#10 HI-COLLAR LOCKWASHER</t>
  </si>
  <si>
    <t xml:space="preserve">#10 </t>
  </si>
  <si>
    <t>HI-COLLAR L/W ZINC PLATED</t>
  </si>
  <si>
    <t>1/4" SPLIT WASHER PACK OF 100 EACH</t>
  </si>
  <si>
    <t>MCMASTER P/N 92146A029</t>
  </si>
  <si>
    <t>SPLIT LOCKWASHER GR 8 YELLOW ZN</t>
  </si>
  <si>
    <t>#8 SPLIT RING LOCKWASHER ZINC YELLOW</t>
  </si>
  <si>
    <t>#8</t>
  </si>
  <si>
    <t>5/16" LOCKWASHER PLATED</t>
  </si>
  <si>
    <t>5/16" 18 X 3/4" HEX CAP SCREW</t>
  </si>
  <si>
    <t>5/16"  NYLON INSERTS LOCKNUT PLATED</t>
  </si>
  <si>
    <t>10-24 X 1-1/4" SOCKET HEAD SCREW</t>
  </si>
  <si>
    <t>10-24 X 1-1/4</t>
  </si>
  <si>
    <t>DO NOT USE</t>
  </si>
  <si>
    <t>WHITE HEAT SHRINK TUBING</t>
  </si>
  <si>
    <t>0.19 WHITE HEAT SHRINK TUBING</t>
  </si>
  <si>
    <t>RED HEAT SHRINK .19 ID</t>
  </si>
  <si>
    <t>.19 ID</t>
  </si>
  <si>
    <t>BLACK HEAT SHRINK .19 ID</t>
  </si>
  <si>
    <t>GREEN/YELLOW HEAT SHRINK TUBING</t>
  </si>
  <si>
    <t>0.12 GREEN / YELLOW HEAT SHRINK TUBING</t>
  </si>
  <si>
    <t>0.125"</t>
  </si>
  <si>
    <t>ORANGE HEAT SHRINK TUBING</t>
  </si>
  <si>
    <t>3/16" ORANGE HEAT SHRINK TUBING</t>
  </si>
  <si>
    <t>HOLE PLUG LOCKING PANEL PLUGS</t>
  </si>
  <si>
    <t>1/2" NYLON PLASTIC HOLE PLUG</t>
  </si>
  <si>
    <t>567 LOCTITE THREAD  SEALANT</t>
  </si>
  <si>
    <t>3M WHITE 35 CODING TAPE</t>
  </si>
  <si>
    <t>3M BROWN 35 CODING TAPE</t>
  </si>
  <si>
    <t>3M ORANGE 35 CODING TAPE</t>
  </si>
  <si>
    <t>3M YELLOW 35 CODING TAPE</t>
  </si>
  <si>
    <t>3M GREEN 35 CODING TAPE</t>
  </si>
  <si>
    <t>3M BLUE 35 CODING TAPE</t>
  </si>
  <si>
    <t>3" LIQ TIGHT FLEX</t>
  </si>
  <si>
    <t>3" EYF MALL SEAL OFF HORIZ / VERTICLE</t>
  </si>
  <si>
    <t>3" CLOSE NIPPLE</t>
  </si>
  <si>
    <t>3" GRC CLOSE NIPPLE</t>
  </si>
  <si>
    <t xml:space="preserve">3" </t>
  </si>
  <si>
    <t>#350 MCM THHN BLACK STRANDED WIRE</t>
  </si>
  <si>
    <t>INACTIVE DUPLICATE OF 241000152</t>
  </si>
  <si>
    <t>3M RED 35 CODING TAPE</t>
  </si>
  <si>
    <t>10-32 GREEN GROUND SCREW</t>
  </si>
  <si>
    <t>8-32 GROUND SCREW</t>
  </si>
  <si>
    <t>8-32</t>
  </si>
  <si>
    <t>2" LIQ TIGHT FLEX</t>
  </si>
  <si>
    <t>DINCABLE</t>
  </si>
  <si>
    <t>CRDST VALVE 4A 110-220V 3X18 AWG (SOLENOID VALVES)</t>
  </si>
  <si>
    <t>#18 AWG</t>
  </si>
  <si>
    <t>#14 AWG STRANDED WIRE GREEN</t>
  </si>
  <si>
    <t>#2/0 AWG THHN BLACK STRANDED WIRE</t>
  </si>
  <si>
    <t>#8 AWG THHN BLACK STRANDED WIRE</t>
  </si>
  <si>
    <t>#3/0 THHN BLACK STRANDED WIRE</t>
  </si>
  <si>
    <t>1/4" X 20 X 1 3/4" HEX SOCKET SCREW</t>
  </si>
  <si>
    <t>1/4"-20 X 1-3/4" HEX SOCKET SCREW</t>
  </si>
  <si>
    <t>#3/0 AWG X 1/2" SINGLE COMP LUG</t>
  </si>
  <si>
    <t>EC5-5</t>
  </si>
  <si>
    <t>MCMASTER P/N 6926K82</t>
  </si>
  <si>
    <t>WAS 50110139</t>
  </si>
  <si>
    <t>3/4" X 1/2" RE BUSHING</t>
  </si>
  <si>
    <t>``</t>
  </si>
  <si>
    <t>EPICOR P/N</t>
  </si>
  <si>
    <t>3/4" MEYERS HUB</t>
  </si>
  <si>
    <t>1" MEYERS HUB</t>
  </si>
  <si>
    <t>BOM Qty</t>
  </si>
  <si>
    <t>Drain</t>
  </si>
  <si>
    <t xml:space="preserve">2" -&gt; 3/4" </t>
  </si>
  <si>
    <t>1" -&gt; 3/4"</t>
  </si>
  <si>
    <t>2" -&gt; 1 1/4"</t>
  </si>
  <si>
    <t>1 1/4" -&gt; 3/4"</t>
  </si>
  <si>
    <t>RD, T, d, T, X, X, X, X, X</t>
  </si>
  <si>
    <t>RD, T, down T,T,T,T,T, 90, X</t>
  </si>
  <si>
    <t>MH, LB, X, LR, T,T,T,X,X</t>
  </si>
  <si>
    <t>RD, T, X</t>
  </si>
  <si>
    <t>PULL ELBOW, NON HAZ LOC, 90 DEG. MALE / FEM, 3/4"</t>
  </si>
  <si>
    <t>EA</t>
  </si>
  <si>
    <t>COND BODY, MALL, LB, 1-1/4"</t>
  </si>
  <si>
    <t>3/4" MALL C COND BODY, CLIP</t>
  </si>
  <si>
    <t>COND BODY, MALL, LB, 3/4"</t>
  </si>
  <si>
    <t>COND BODY, MALL, LB, 1/2"</t>
  </si>
  <si>
    <t>COND BODY, MALL, LB, 2"</t>
  </si>
  <si>
    <t>COND BODY, MALL, LR, 2"</t>
  </si>
  <si>
    <t>MEYERS HUB, 2"</t>
  </si>
  <si>
    <t>SEAL OFF, MALL, EYS, 3/4"</t>
  </si>
  <si>
    <t>COND BODY, MALL T, 3/4"</t>
  </si>
  <si>
    <t>COND BODY, MALL, T, 1"</t>
  </si>
  <si>
    <t>COND BODY, MALL, T, 1-1/4"</t>
  </si>
  <si>
    <t>COND BODY, MALL, T, 2"</t>
  </si>
  <si>
    <t>DRAIN BREATHER, 3/4"</t>
  </si>
  <si>
    <t>UNION, MALL, HAZ LOC, 90, UNL, 3/4"</t>
  </si>
  <si>
    <t>COND BODY, MALL, X, 3/4", CLIP</t>
  </si>
  <si>
    <t>COND BODY, MALL X, 1-1/4"</t>
  </si>
  <si>
    <t>RE BUSH,  2" X 3/4"</t>
  </si>
  <si>
    <t>RE BUSH, 2" X 1-1/4"</t>
  </si>
  <si>
    <t>MOTOR RTD CABLE, AWG 18, 600 VOLT, LAPP-25 COND</t>
  </si>
  <si>
    <t>FT</t>
  </si>
  <si>
    <t>Mtl Seq</t>
  </si>
  <si>
    <t>Qty / Parent</t>
  </si>
  <si>
    <t>UOM</t>
  </si>
  <si>
    <t>Desc</t>
  </si>
  <si>
    <t>ASM</t>
  </si>
  <si>
    <t xml:space="preserve">3/4" MALE / FEM 90 DEG SHORT ELB HAZ LOC                       </t>
  </si>
  <si>
    <t>Number</t>
  </si>
  <si>
    <t>BILL OF MATERIAL</t>
  </si>
  <si>
    <t>Instrument And Wires List</t>
  </si>
  <si>
    <t>Controls Notes</t>
  </si>
  <si>
    <t>P&amp;IDs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</si>
</sst>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rgb="FF333333"/>
      <name val="Arial"/>
      <family val="2"/>
    </font>
    <font>
      <sz val="9"/>
      <color rgb="FF333333"/>
      <name val="Arial"/>
      <family val="2"/>
    </font>
    <font>
      <sz val="11"/>
      <color rgb="FF333333"/>
      <name val="Arial"/>
      <family val="2"/>
    </font>
    <font>
      <sz val="11"/>
      <color rgb="FF111111"/>
      <name val="Source Sans Pro"/>
      <family val="2"/>
    </font>
    <font>
      <sz val="11"/>
      <color rgb="FF333333"/>
      <name val="Source Sans Pro"/>
      <family val="2"/>
    </font>
    <font>
      <sz val="12"/>
      <name val="Aptos Narrow"/>
      <family val="2"/>
      <scheme val="minor"/>
    </font>
    <font>
      <b/>
      <sz val="12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theme="0"/>
      <name val="Calibri"/>
      <family val="2"/>
    </font>
    <font>
      <sz val="10"/>
      <name val="Aptos Narrow"/>
      <family val="2"/>
      <scheme val="minor"/>
    </font>
    <font>
      <sz val="11"/>
      <name val="Aptos Narrow"/>
      <family val="2"/>
    </font>
    <font>
      <sz val="10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0"/>
      <name val="Calibri"/>
      <family val="2"/>
    </font>
    <font>
      <sz val="10"/>
      <color theme="1"/>
      <name val="Aptos Narrow"/>
      <family val="2"/>
      <scheme val="minor"/>
    </font>
    <font>
      <sz val="10"/>
      <name val="Aptos Narrow"/>
      <family val="2"/>
    </font>
    <font>
      <sz val="10"/>
      <color rgb="FFFF0000"/>
      <name val="Aptos Narrow"/>
      <family val="2"/>
    </font>
    <font>
      <sz val="10"/>
      <color rgb="FF000000"/>
      <name val="Aptos Narrow"/>
      <family val="2"/>
      <scheme val="minor"/>
    </font>
    <font>
      <sz val="8"/>
      <name val="Arial"/>
      <family val="2"/>
    </font>
    <font>
      <sz val="11"/>
      <color rgb="FFFF0000"/>
      <name val="Aptos Narrow"/>
      <family val="2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rgb="FF1F4E7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CE4D6"/>
        <bgColor rgb="FFFFEB9C"/>
      </patternFill>
    </fill>
  </fills>
  <borders count="32">
    <border>
      <left/>
      <right/>
      <top/>
      <bottom/>
      <diagonal/>
    </border>
    <border>
      <left/>
      <right style="medium">
        <color rgb="FF9FA0A4"/>
      </right>
      <top style="medium">
        <color rgb="FF9FA0A4"/>
      </top>
      <bottom style="medium">
        <color rgb="FF9FA0A4"/>
      </bottom>
      <diagonal/>
    </border>
    <border>
      <left/>
      <right style="medium">
        <color rgb="FF9FA0A4"/>
      </right>
      <top style="medium">
        <color rgb="FF9FA0A4"/>
      </top>
      <bottom/>
      <diagonal/>
    </border>
    <border>
      <left/>
      <right style="medium">
        <color rgb="FF9FA0A4"/>
      </right>
      <top/>
      <bottom style="medium">
        <color rgb="FF9FA0A4"/>
      </bottom>
      <diagonal/>
    </border>
    <border>
      <left/>
      <right/>
      <top style="medium">
        <color rgb="FF9FA0A4"/>
      </top>
      <bottom style="medium">
        <color rgb="FF9FA0A4"/>
      </bottom>
      <diagonal/>
    </border>
    <border>
      <left/>
      <right/>
      <top style="medium">
        <color rgb="FF9FA0A4"/>
      </top>
      <bottom/>
      <diagonal/>
    </border>
    <border>
      <left/>
      <right/>
      <top/>
      <bottom style="medium">
        <color rgb="FF9FA0A4"/>
      </bottom>
      <diagonal/>
    </border>
    <border>
      <left style="medium">
        <color rgb="FF9FA0A4"/>
      </left>
      <right style="medium">
        <color rgb="FF9FA0A4"/>
      </right>
      <top/>
      <bottom style="medium">
        <color rgb="FF9FA0A4"/>
      </bottom>
      <diagonal/>
    </border>
    <border>
      <left style="medium">
        <color rgb="FF9FA0A4"/>
      </left>
      <right/>
      <top style="medium">
        <color rgb="FF9FA0A4"/>
      </top>
      <bottom style="medium">
        <color rgb="FF9FA0A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9FA0A4"/>
      </left>
      <right style="thin">
        <color indexed="64"/>
      </right>
      <top style="medium">
        <color rgb="FF9FA0A4"/>
      </top>
      <bottom style="medium">
        <color rgb="FF9FA0A4"/>
      </bottom>
      <diagonal/>
    </border>
    <border>
      <left style="medium">
        <color rgb="FF9FA0A4"/>
      </left>
      <right style="thin">
        <color indexed="64"/>
      </right>
      <top/>
      <bottom style="medium">
        <color rgb="FF9FA0A4"/>
      </bottom>
      <diagonal/>
    </border>
    <border>
      <left style="thin">
        <color indexed="64"/>
      </left>
      <right style="medium">
        <color rgb="FF9FA0A4"/>
      </right>
      <top style="medium">
        <color rgb="FF9FA0A4"/>
      </top>
      <bottom style="medium">
        <color rgb="FF9FA0A4"/>
      </bottom>
      <diagonal/>
    </border>
    <border>
      <left style="thin">
        <color indexed="64"/>
      </left>
      <right style="medium">
        <color rgb="FF9FA0A4"/>
      </right>
      <top/>
      <bottom style="medium">
        <color rgb="FF9FA0A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B7B7B7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13" fillId="0" borderId="0"/>
    <xf numFmtId="0" fontId="15" fillId="6" borderId="27" applyNumberFormat="0" applyFont="0" applyAlignment="0" applyProtection="0"/>
    <xf numFmtId="0" fontId="16" fillId="7" borderId="0" applyNumberFormat="0" applyBorder="0" applyAlignment="0" applyProtection="0"/>
  </cellStyleXfs>
  <cellXfs count="187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3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2" fillId="0" borderId="0" xfId="1"/>
    <xf numFmtId="0" fontId="6" fillId="2" borderId="15" xfId="0" applyFont="1" applyFill="1" applyBorder="1" applyAlignment="1">
      <alignment horizontal="left" vertical="center" wrapText="1" indent="1"/>
    </xf>
    <xf numFmtId="0" fontId="7" fillId="2" borderId="15" xfId="0" applyFont="1" applyFill="1" applyBorder="1" applyAlignment="1">
      <alignment horizontal="left" vertical="center" wrapText="1" indent="1"/>
    </xf>
    <xf numFmtId="0" fontId="9" fillId="4" borderId="15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wrapText="1"/>
    </xf>
    <xf numFmtId="0" fontId="1" fillId="0" borderId="15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24" xfId="0" applyBorder="1"/>
    <xf numFmtId="0" fontId="0" fillId="0" borderId="25" xfId="0" applyBorder="1"/>
    <xf numFmtId="0" fontId="0" fillId="0" borderId="0" xfId="0" applyAlignment="1">
      <alignment wrapText="1"/>
    </xf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 applyAlignment="1">
      <alignment wrapText="1"/>
    </xf>
    <xf numFmtId="0" fontId="0" fillId="0" borderId="18" xfId="0" applyBorder="1"/>
    <xf numFmtId="0" fontId="0" fillId="0" borderId="26" xfId="0" applyBorder="1"/>
    <xf numFmtId="0" fontId="1" fillId="0" borderId="19" xfId="0" applyFont="1" applyBorder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21" xfId="0" applyFont="1" applyBorder="1" applyAlignment="1">
      <alignment horizontal="center" vertical="top" wrapText="1"/>
    </xf>
    <xf numFmtId="0" fontId="0" fillId="0" borderId="20" xfId="0" applyBorder="1"/>
    <xf numFmtId="0" fontId="0" fillId="5" borderId="15" xfId="0" applyFill="1" applyBorder="1"/>
    <xf numFmtId="0" fontId="11" fillId="0" borderId="15" xfId="0" applyFont="1" applyBorder="1" applyAlignment="1">
      <alignment horizontal="center" vertical="top" wrapText="1"/>
    </xf>
    <xf numFmtId="0" fontId="12" fillId="0" borderId="15" xfId="0" applyFont="1" applyBorder="1" applyAlignment="1">
      <alignment horizontal="center" vertical="top"/>
    </xf>
    <xf numFmtId="0" fontId="11" fillId="0" borderId="15" xfId="0" applyFont="1" applyBorder="1" applyAlignment="1">
      <alignment horizontal="center" vertical="top"/>
    </xf>
    <xf numFmtId="0" fontId="14" fillId="0" borderId="15" xfId="0" applyFont="1" applyBorder="1"/>
    <xf numFmtId="12" fontId="14" fillId="0" borderId="15" xfId="0" applyNumberFormat="1" applyFont="1" applyBorder="1"/>
    <xf numFmtId="0" fontId="0" fillId="0" borderId="0" xfId="0" applyAlignment="1">
      <alignment horizontal="center"/>
    </xf>
    <xf numFmtId="0" fontId="13" fillId="0" borderId="0" xfId="2"/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7" fillId="8" borderId="15" xfId="0" applyFont="1" applyFill="1" applyBorder="1" applyAlignment="1">
      <alignment horizontal="center" wrapText="1"/>
    </xf>
    <xf numFmtId="0" fontId="17" fillId="8" borderId="15" xfId="4" applyFont="1" applyFill="1" applyBorder="1" applyAlignment="1">
      <alignment horizontal="center" wrapText="1"/>
    </xf>
    <xf numFmtId="0" fontId="17" fillId="8" borderId="0" xfId="4" applyFont="1" applyFill="1" applyBorder="1" applyAlignment="1">
      <alignment horizontal="center" wrapText="1"/>
    </xf>
    <xf numFmtId="0" fontId="17" fillId="8" borderId="0" xfId="0" applyFont="1" applyFill="1" applyAlignment="1">
      <alignment horizontal="center" wrapText="1"/>
    </xf>
    <xf numFmtId="49" fontId="0" fillId="6" borderId="27" xfId="3" applyNumberFormat="1" applyFont="1" applyAlignment="1">
      <alignment horizontal="center"/>
    </xf>
    <xf numFmtId="0" fontId="11" fillId="0" borderId="0" xfId="0" applyFont="1"/>
    <xf numFmtId="16" fontId="14" fillId="0" borderId="0" xfId="0" applyNumberFormat="1" applyFont="1"/>
    <xf numFmtId="0" fontId="14" fillId="0" borderId="0" xfId="0" applyFont="1"/>
    <xf numFmtId="14" fontId="14" fillId="0" borderId="0" xfId="0" applyNumberFormat="1" applyFont="1"/>
    <xf numFmtId="0" fontId="19" fillId="0" borderId="15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19" fillId="0" borderId="0" xfId="0" applyFont="1"/>
    <xf numFmtId="0" fontId="19" fillId="0" borderId="15" xfId="0" applyFont="1" applyBorder="1"/>
    <xf numFmtId="0" fontId="19" fillId="0" borderId="15" xfId="0" applyFont="1" applyBorder="1" applyAlignment="1">
      <alignment horizontal="left"/>
    </xf>
    <xf numFmtId="0" fontId="20" fillId="0" borderId="15" xfId="0" applyFont="1" applyBorder="1" applyAlignment="1">
      <alignment horizontal="center"/>
    </xf>
    <xf numFmtId="0" fontId="19" fillId="0" borderId="20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15" xfId="0" applyFont="1" applyBorder="1" applyAlignment="1">
      <alignment horizontal="left" vertical="center"/>
    </xf>
    <xf numFmtId="0" fontId="19" fillId="0" borderId="9" xfId="0" applyFont="1" applyBorder="1"/>
    <xf numFmtId="0" fontId="19" fillId="0" borderId="15" xfId="0" applyFont="1" applyBorder="1" applyAlignment="1">
      <alignment horizontal="left" vertical="center" wrapText="1"/>
    </xf>
    <xf numFmtId="49" fontId="19" fillId="0" borderId="15" xfId="0" applyNumberFormat="1" applyFont="1" applyBorder="1" applyAlignment="1">
      <alignment horizontal="center"/>
    </xf>
    <xf numFmtId="14" fontId="19" fillId="0" borderId="15" xfId="0" applyNumberFormat="1" applyFont="1" applyBorder="1"/>
    <xf numFmtId="14" fontId="19" fillId="0" borderId="15" xfId="0" applyNumberFormat="1" applyFont="1" applyBorder="1" applyAlignment="1">
      <alignment horizontal="center"/>
    </xf>
    <xf numFmtId="0" fontId="21" fillId="0" borderId="15" xfId="0" applyFont="1" applyBorder="1"/>
    <xf numFmtId="0" fontId="21" fillId="0" borderId="15" xfId="0" applyFont="1" applyBorder="1" applyAlignment="1">
      <alignment horizontal="left"/>
    </xf>
    <xf numFmtId="0" fontId="21" fillId="0" borderId="15" xfId="0" applyFont="1" applyBorder="1" applyAlignment="1">
      <alignment horizontal="center"/>
    </xf>
    <xf numFmtId="0" fontId="21" fillId="0" borderId="20" xfId="0" applyFont="1" applyBorder="1" applyAlignment="1">
      <alignment horizontal="center"/>
    </xf>
    <xf numFmtId="0" fontId="21" fillId="0" borderId="15" xfId="0" applyFont="1" applyBorder="1" applyAlignment="1">
      <alignment horizontal="center" vertical="center"/>
    </xf>
    <xf numFmtId="0" fontId="21" fillId="0" borderId="0" xfId="0" applyFont="1"/>
    <xf numFmtId="0" fontId="22" fillId="0" borderId="15" xfId="0" applyFont="1" applyBorder="1" applyAlignment="1">
      <alignment horizontal="left" vertical="center"/>
    </xf>
    <xf numFmtId="0" fontId="19" fillId="0" borderId="0" xfId="0" applyFont="1" applyAlignment="1">
      <alignment wrapText="1"/>
    </xf>
    <xf numFmtId="0" fontId="19" fillId="0" borderId="15" xfId="0" applyFont="1" applyBorder="1" applyAlignment="1">
      <alignment horizontal="center" vertical="top"/>
    </xf>
    <xf numFmtId="0" fontId="19" fillId="0" borderId="15" xfId="0" applyFont="1" applyBorder="1" applyAlignment="1">
      <alignment vertical="center" wrapText="1"/>
    </xf>
    <xf numFmtId="0" fontId="23" fillId="0" borderId="15" xfId="0" applyFont="1" applyBorder="1" applyAlignment="1">
      <alignment horizontal="right" vertical="center"/>
    </xf>
    <xf numFmtId="0" fontId="23" fillId="0" borderId="15" xfId="0" applyFont="1" applyBorder="1" applyAlignment="1">
      <alignment vertical="center"/>
    </xf>
    <xf numFmtId="0" fontId="19" fillId="0" borderId="15" xfId="0" applyFont="1" applyBorder="1" applyAlignment="1">
      <alignment vertical="top"/>
    </xf>
    <xf numFmtId="0" fontId="23" fillId="0" borderId="15" xfId="0" applyFont="1" applyBorder="1" applyAlignment="1">
      <alignment horizontal="left"/>
    </xf>
    <xf numFmtId="0" fontId="19" fillId="0" borderId="18" xfId="0" applyFont="1" applyBorder="1" applyAlignment="1">
      <alignment horizontal="center"/>
    </xf>
    <xf numFmtId="0" fontId="20" fillId="0" borderId="29" xfId="0" applyFont="1" applyBorder="1"/>
    <xf numFmtId="0" fontId="20" fillId="0" borderId="30" xfId="0" applyFont="1" applyBorder="1"/>
    <xf numFmtId="0" fontId="19" fillId="9" borderId="15" xfId="0" applyFont="1" applyFill="1" applyBorder="1"/>
    <xf numFmtId="0" fontId="19" fillId="0" borderId="30" xfId="0" applyFont="1" applyBorder="1"/>
    <xf numFmtId="0" fontId="25" fillId="0" borderId="30" xfId="0" applyFont="1" applyBorder="1"/>
    <xf numFmtId="0" fontId="21" fillId="0" borderId="18" xfId="0" applyFont="1" applyBorder="1" applyAlignment="1">
      <alignment horizontal="center"/>
    </xf>
    <xf numFmtId="0" fontId="27" fillId="0" borderId="15" xfId="0" applyFont="1" applyBorder="1" applyAlignment="1">
      <alignment horizontal="left" vertical="top"/>
    </xf>
    <xf numFmtId="0" fontId="27" fillId="0" borderId="15" xfId="0" applyFont="1" applyBorder="1" applyAlignment="1">
      <alignment horizontal="center" vertical="top"/>
    </xf>
    <xf numFmtId="0" fontId="28" fillId="0" borderId="15" xfId="0" applyFont="1" applyBorder="1" applyAlignment="1">
      <alignment vertical="center" wrapText="1"/>
    </xf>
    <xf numFmtId="0" fontId="19" fillId="3" borderId="15" xfId="0" applyFont="1" applyFill="1" applyBorder="1"/>
    <xf numFmtId="0" fontId="19" fillId="3" borderId="15" xfId="0" applyFont="1" applyFill="1" applyBorder="1" applyAlignment="1">
      <alignment horizontal="left"/>
    </xf>
    <xf numFmtId="0" fontId="19" fillId="3" borderId="15" xfId="0" applyFont="1" applyFill="1" applyBorder="1" applyAlignment="1">
      <alignment horizontal="center"/>
    </xf>
    <xf numFmtId="0" fontId="19" fillId="3" borderId="15" xfId="0" applyFont="1" applyFill="1" applyBorder="1" applyAlignment="1">
      <alignment horizontal="center" vertical="center"/>
    </xf>
    <xf numFmtId="0" fontId="19" fillId="10" borderId="15" xfId="0" applyFont="1" applyFill="1" applyBorder="1"/>
    <xf numFmtId="0" fontId="19" fillId="10" borderId="15" xfId="0" applyFont="1" applyFill="1" applyBorder="1" applyAlignment="1">
      <alignment horizontal="left"/>
    </xf>
    <xf numFmtId="0" fontId="19" fillId="10" borderId="15" xfId="0" applyFont="1" applyFill="1" applyBorder="1" applyAlignment="1">
      <alignment horizontal="center"/>
    </xf>
    <xf numFmtId="0" fontId="19" fillId="10" borderId="15" xfId="0" applyFont="1" applyFill="1" applyBorder="1" applyAlignment="1">
      <alignment horizontal="center" vertical="center"/>
    </xf>
    <xf numFmtId="0" fontId="29" fillId="0" borderId="15" xfId="0" applyFont="1" applyBorder="1" applyAlignment="1">
      <alignment horizontal="center"/>
    </xf>
    <xf numFmtId="0" fontId="21" fillId="0" borderId="30" xfId="0" applyFont="1" applyBorder="1" applyAlignment="1">
      <alignment horizontal="left" vertical="center"/>
    </xf>
    <xf numFmtId="0" fontId="19" fillId="0" borderId="15" xfId="0" applyFont="1" applyBorder="1" applyAlignment="1">
      <alignment horizontal="left" vertical="top"/>
    </xf>
    <xf numFmtId="0" fontId="19" fillId="0" borderId="30" xfId="0" applyFont="1" applyBorder="1" applyAlignment="1">
      <alignment horizontal="left" vertical="center"/>
    </xf>
    <xf numFmtId="0" fontId="21" fillId="0" borderId="15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center" vertical="top"/>
    </xf>
    <xf numFmtId="0" fontId="21" fillId="0" borderId="15" xfId="0" applyFont="1" applyBorder="1" applyAlignment="1">
      <alignment horizontal="left" vertical="top"/>
    </xf>
    <xf numFmtId="0" fontId="21" fillId="0" borderId="15" xfId="0" applyFont="1" applyBorder="1" applyAlignment="1">
      <alignment horizontal="left" vertical="center"/>
    </xf>
    <xf numFmtId="0" fontId="19" fillId="0" borderId="15" xfId="0" applyFont="1" applyBorder="1" applyAlignment="1">
      <alignment horizontal="center" vertical="top" wrapText="1"/>
    </xf>
    <xf numFmtId="0" fontId="19" fillId="0" borderId="15" xfId="0" applyFont="1" applyBorder="1" applyAlignment="1">
      <alignment horizontal="left" vertical="top" wrapText="1"/>
    </xf>
    <xf numFmtId="0" fontId="19" fillId="0" borderId="15" xfId="0" applyFont="1" applyBorder="1" applyAlignment="1">
      <alignment horizontal="center" wrapText="1"/>
    </xf>
    <xf numFmtId="17" fontId="19" fillId="0" borderId="15" xfId="0" applyNumberFormat="1" applyFont="1" applyBorder="1" applyAlignment="1">
      <alignment horizontal="center" vertical="top"/>
    </xf>
    <xf numFmtId="0" fontId="19" fillId="0" borderId="18" xfId="0" applyFont="1" applyBorder="1"/>
    <xf numFmtId="0" fontId="19" fillId="0" borderId="17" xfId="0" applyFont="1" applyBorder="1" applyAlignment="1">
      <alignment horizontal="left" vertical="center" wrapText="1"/>
    </xf>
    <xf numFmtId="0" fontId="19" fillId="0" borderId="17" xfId="0" applyFont="1" applyBorder="1" applyAlignment="1">
      <alignment horizontal="center" vertical="top"/>
    </xf>
    <xf numFmtId="0" fontId="19" fillId="0" borderId="18" xfId="0" applyFont="1" applyBorder="1" applyAlignment="1">
      <alignment horizontal="left" vertical="center" wrapText="1"/>
    </xf>
    <xf numFmtId="0" fontId="19" fillId="0" borderId="0" xfId="0" applyFont="1" applyAlignment="1">
      <alignment horizontal="center" vertical="center"/>
    </xf>
    <xf numFmtId="0" fontId="22" fillId="0" borderId="15" xfId="0" applyFont="1" applyBorder="1"/>
    <xf numFmtId="49" fontId="19" fillId="0" borderId="15" xfId="0" applyNumberFormat="1" applyFont="1" applyBorder="1" applyAlignment="1">
      <alignment horizontal="center" vertical="top"/>
    </xf>
    <xf numFmtId="0" fontId="18" fillId="0" borderId="0" xfId="0" applyFont="1"/>
    <xf numFmtId="49" fontId="14" fillId="0" borderId="0" xfId="0" applyNumberFormat="1" applyFont="1"/>
    <xf numFmtId="0" fontId="30" fillId="11" borderId="0" xfId="0" applyFont="1" applyFill="1" applyAlignment="1">
      <alignment horizontal="center" vertical="center"/>
    </xf>
    <xf numFmtId="0" fontId="21" fillId="0" borderId="18" xfId="0" applyFont="1" applyBorder="1" applyAlignment="1">
      <alignment horizontal="left" vertical="center" wrapText="1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left" vertical="center" wrapText="1"/>
    </xf>
    <xf numFmtId="0" fontId="21" fillId="0" borderId="17" xfId="0" applyFont="1" applyBorder="1" applyAlignment="1">
      <alignment horizontal="left" vertical="center" wrapText="1"/>
    </xf>
    <xf numFmtId="0" fontId="19" fillId="0" borderId="17" xfId="0" applyFont="1" applyBorder="1" applyAlignment="1">
      <alignment horizontal="left"/>
    </xf>
    <xf numFmtId="0" fontId="24" fillId="0" borderId="15" xfId="0" applyFont="1" applyBorder="1"/>
    <xf numFmtId="0" fontId="21" fillId="0" borderId="17" xfId="0" applyFont="1" applyBorder="1" applyAlignment="1">
      <alignment horizontal="center" vertical="top"/>
    </xf>
    <xf numFmtId="0" fontId="19" fillId="0" borderId="17" xfId="0" applyFont="1" applyBorder="1" applyAlignment="1">
      <alignment horizontal="center"/>
    </xf>
    <xf numFmtId="0" fontId="19" fillId="0" borderId="0" xfId="0" applyFont="1" applyAlignment="1">
      <alignment horizontal="center" vertical="top"/>
    </xf>
    <xf numFmtId="0" fontId="24" fillId="0" borderId="15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top"/>
    </xf>
    <xf numFmtId="0" fontId="24" fillId="0" borderId="15" xfId="0" applyFont="1" applyBorder="1" applyAlignment="1">
      <alignment horizontal="left" vertical="center"/>
    </xf>
    <xf numFmtId="0" fontId="19" fillId="0" borderId="28" xfId="0" applyFont="1" applyBorder="1"/>
    <xf numFmtId="0" fontId="19" fillId="0" borderId="20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wrapText="1"/>
    </xf>
    <xf numFmtId="0" fontId="19" fillId="0" borderId="20" xfId="0" applyFont="1" applyBorder="1" applyAlignment="1">
      <alignment horizontal="center" wrapText="1"/>
    </xf>
    <xf numFmtId="0" fontId="19" fillId="0" borderId="23" xfId="0" applyFont="1" applyBorder="1" applyAlignment="1">
      <alignment horizontal="left" vertical="center"/>
    </xf>
    <xf numFmtId="0" fontId="20" fillId="0" borderId="15" xfId="0" applyFont="1" applyBorder="1"/>
    <xf numFmtId="0" fontId="19" fillId="0" borderId="30" xfId="0" applyFont="1" applyBorder="1" applyAlignment="1">
      <alignment horizontal="center" vertical="center"/>
    </xf>
    <xf numFmtId="0" fontId="19" fillId="0" borderId="30" xfId="0" applyFont="1" applyBorder="1" applyAlignment="1">
      <alignment horizontal="left" vertical="center" wrapText="1"/>
    </xf>
    <xf numFmtId="0" fontId="25" fillId="0" borderId="15" xfId="0" applyFont="1" applyBorder="1"/>
    <xf numFmtId="0" fontId="21" fillId="0" borderId="30" xfId="0" applyFont="1" applyBorder="1" applyAlignment="1">
      <alignment horizontal="center" vertical="center"/>
    </xf>
    <xf numFmtId="0" fontId="25" fillId="10" borderId="15" xfId="0" applyFont="1" applyFill="1" applyBorder="1"/>
    <xf numFmtId="0" fontId="20" fillId="0" borderId="0" xfId="0" applyFont="1"/>
    <xf numFmtId="0" fontId="20" fillId="0" borderId="15" xfId="0" applyFont="1" applyBorder="1" applyAlignment="1">
      <alignment horizontal="left"/>
    </xf>
    <xf numFmtId="0" fontId="26" fillId="0" borderId="15" xfId="0" applyFont="1" applyBorder="1"/>
    <xf numFmtId="0" fontId="19" fillId="0" borderId="26" xfId="0" applyFont="1" applyBorder="1" applyAlignment="1">
      <alignment horizontal="center" vertical="center"/>
    </xf>
    <xf numFmtId="0" fontId="25" fillId="3" borderId="15" xfId="0" applyFont="1" applyFill="1" applyBorder="1"/>
    <xf numFmtId="1" fontId="0" fillId="0" borderId="0" xfId="0" applyNumberFormat="1" applyAlignment="1">
      <alignment horizontal="right"/>
    </xf>
    <xf numFmtId="1" fontId="0" fillId="0" borderId="0" xfId="0" applyNumberFormat="1"/>
    <xf numFmtId="0" fontId="0" fillId="0" borderId="19" xfId="0" applyBorder="1"/>
    <xf numFmtId="0" fontId="0" fillId="0" borderId="21" xfId="0" applyBorder="1"/>
    <xf numFmtId="0" fontId="0" fillId="0" borderId="1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4" xfId="0" applyBorder="1" applyAlignment="1">
      <alignment horizontal="left" vertical="center"/>
    </xf>
    <xf numFmtId="0" fontId="18" fillId="0" borderId="19" xfId="0" applyFont="1" applyBorder="1"/>
    <xf numFmtId="0" fontId="18" fillId="0" borderId="20" xfId="0" applyFont="1" applyBorder="1"/>
    <xf numFmtId="0" fontId="18" fillId="0" borderId="21" xfId="0" applyFont="1" applyBorder="1"/>
    <xf numFmtId="49" fontId="14" fillId="0" borderId="17" xfId="0" applyNumberFormat="1" applyFont="1" applyBorder="1"/>
    <xf numFmtId="0" fontId="14" fillId="0" borderId="18" xfId="0" applyFont="1" applyBorder="1"/>
    <xf numFmtId="49" fontId="14" fillId="0" borderId="25" xfId="0" applyNumberFormat="1" applyFont="1" applyBorder="1"/>
    <xf numFmtId="0" fontId="14" fillId="0" borderId="26" xfId="0" applyFont="1" applyBorder="1"/>
    <xf numFmtId="0" fontId="14" fillId="0" borderId="24" xfId="0" applyFont="1" applyBorder="1"/>
    <xf numFmtId="0" fontId="0" fillId="0" borderId="15" xfId="0" applyBorder="1" applyAlignment="1">
      <alignment horizontal="left" vertical="center"/>
    </xf>
    <xf numFmtId="0" fontId="0" fillId="3" borderId="0" xfId="0" applyFill="1" applyAlignment="1">
      <alignment horizontal="center"/>
    </xf>
    <xf numFmtId="0" fontId="17" fillId="8" borderId="15" xfId="4" applyFont="1" applyFill="1" applyBorder="1" applyAlignment="1">
      <alignment horizontal="center" wrapText="1"/>
    </xf>
    <xf numFmtId="0" fontId="9" fillId="4" borderId="15" xfId="0" applyFont="1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</cellXfs>
  <cellStyles count="5">
    <cellStyle name="Accent1" xfId="4" builtinId="29"/>
    <cellStyle name="Hyperlink" xfId="1" builtinId="8"/>
    <cellStyle name="Normal" xfId="0" builtinId="0"/>
    <cellStyle name="Normal 5 2" xfId="2" xr:uid="{AE5B617E-D8B2-4226-A260-E184417A2B79}"/>
    <cellStyle name="Note" xfId="3" builtinId="10"/>
  </cellStyles>
  <dxfs count="38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0" formatCode="@"/>
      <alignment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0" formatCode="@"/>
      <alignment textRotation="0" wrapText="0" indent="0" justifyLastLine="0" shrinkToFit="0" readingOrder="0"/>
    </dxf>
    <dxf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AC1254-8EEC-43D6-A3F0-352C30FDC432}" name="Table3" displayName="Table3" ref="A2:K80" totalsRowShown="0" headerRowCellStyle="Normal" dataCellStyle="Normal">
  <autoFilter ref="A2:K80" xr:uid="{34AC1254-8EEC-43D6-A3F0-352C30FDC432}"/>
  <sortState xmlns:xlrd2="http://schemas.microsoft.com/office/spreadsheetml/2017/richdata2" ref="A3:J77">
    <sortCondition ref="J2:J77"/>
  </sortState>
  <tableColumns count="11">
    <tableColumn id="1" xr3:uid="{EF981CEC-A049-4A30-B343-9DAE0FCAF48C}" name="TAG NO" dataCellStyle="Normal"/>
    <tableColumn id="5" xr3:uid="{A2D68D11-C24C-47E2-B0DF-EE5E3BFA3122}" name="Controls Notes" dataCellStyle="Normal"/>
    <tableColumn id="9" xr3:uid="{D14D08FB-5016-4700-A8EF-C9F8A28FC35A}" name="P&amp;IDs Notes" dataCellStyle="Normal"/>
    <tableColumn id="8" xr3:uid="{1581C7F7-27B5-4542-8E65-F865E837DE83}" name="Voltage" dataCellStyle="Normal"/>
    <tableColumn id="13" xr3:uid="{8409E45B-A47C-44EF-966A-CCFCD9F9D358}" name="INTRINSICALLY SAFE" dataCellStyle="Normal"/>
    <tableColumn id="4" xr3:uid="{AFC518E3-7701-4236-87DB-2F82077BB73F}" name="SIGNAL" dataCellStyle="Normal"/>
    <tableColumn id="6" xr3:uid="{E2B5416E-1639-410D-9E93-F553166D8E49}" name="CONNECTION" dataCellStyle="Normal"/>
    <tableColumn id="12" xr3:uid="{C4146845-76CD-4320-87E6-9F5248A641DA}" name="Cable Designation" dataCellStyle="Normal"/>
    <tableColumn id="7" xr3:uid="{CAB33E22-4760-4629-B063-A48F9ACF60F7}" name="Cable Qty" dataCellStyle="Normal"/>
    <tableColumn id="3" xr3:uid="{D412B9A5-6568-4ED3-9E96-EF8C823FD9A3}" name="Conduit " dataCellStyle="Normal"/>
    <tableColumn id="2" xr3:uid="{5BC3B45F-F0DE-4B51-9D66-B4BADDF35AF8}" name="Conduit Branch" dataCellStyle="Norm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9A29734-B040-4B8C-8C83-00B287BE79DA}" name="Table6" displayName="Table6" ref="M3:T18" totalsRowShown="0">
  <autoFilter ref="M3:T18" xr:uid="{69A29734-B040-4B8C-8C83-00B287BE79DA}"/>
  <tableColumns count="8">
    <tableColumn id="1" xr3:uid="{39E7B6F8-C624-49F6-B58D-46439C3FD6A3}" name="Company "/>
    <tableColumn id="2" xr3:uid="{1CE57C4C-6A7C-4B0C-9AEE-B35544B869CF}" name="Designation"/>
    <tableColumn id="3" xr3:uid="{E70AF589-7AE9-4F12-A983-F78116C295EF}" name="Size"/>
    <tableColumn id="4" xr3:uid="{F3EEB411-2C5D-4D46-BC9D-957F2B5ED487}" name="Conductors"/>
    <tableColumn id="5" xr3:uid="{E2CF98DD-AA99-4A70-A2D4-E78B86991C3A}" name="Shield"/>
    <tableColumn id="6" xr3:uid="{535EC24F-AEA9-40B7-AD95-5BE22668D948}" name="Voltage"/>
    <tableColumn id="7" xr3:uid="{F04CF71C-66F1-4ED4-88E9-C3E3E88A49FB}" name="Type"/>
    <tableColumn id="8" xr3:uid="{666ED676-CD38-4A4B-BBDB-BE6EB7E0D879}" name="Nom Diamet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B39C3A-599A-4761-B852-E136058E3606}" name="Table5" displayName="Table5" ref="A37:C56" totalsRowShown="0" headerRowDxfId="37" dataDxfId="36">
  <autoFilter ref="A37:C56" xr:uid="{6BB39C3A-599A-4761-B852-E136058E3606}"/>
  <sortState xmlns:xlrd2="http://schemas.microsoft.com/office/spreadsheetml/2017/richdata2" ref="A38:C56">
    <sortCondition ref="A37:A56"/>
  </sortState>
  <tableColumns count="3">
    <tableColumn id="1" xr3:uid="{7A9E7753-1913-48D8-B869-4A1F6B1FBB44}" name="Size" dataDxfId="35"/>
    <tableColumn id="2" xr3:uid="{A5186BEE-FC56-4498-B1FB-E1BB1F81ACE6}" name="Tag" dataDxfId="34"/>
    <tableColumn id="3" xr3:uid="{FBDFB613-511C-4309-AD32-CC35FC518561}" name="Transcribed Contents" dataDxfId="3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A1B5B82-0855-4F2C-B508-57A4B5AFA6AC}" name="Table10" displayName="Table10" ref="A2:E34" totalsRowShown="0" headerRowCellStyle="Normal" dataCellStyle="Normal">
  <autoFilter ref="A2:E34" xr:uid="{6A1B5B82-0855-4F2C-B508-57A4B5AFA6AC}"/>
  <sortState xmlns:xlrd2="http://schemas.microsoft.com/office/spreadsheetml/2017/richdata2" ref="A3:E34">
    <sortCondition ref="A2:A34"/>
  </sortState>
  <tableColumns count="5">
    <tableColumn id="1" xr3:uid="{F4338792-448C-4FED-A050-FAD3043AFDF6}" name="Size" dataCellStyle="Normal"/>
    <tableColumn id="2" xr3:uid="{5601A4CA-3251-4D87-B8E7-96FB1600162F}" name="Part" dataCellStyle="Normal"/>
    <tableColumn id="3" xr3:uid="{06CF26D5-DAB7-4AC4-8394-6E3EB45E8F5D}" name="BOM Qty" dataDxfId="32" dataCellStyle="Normal"/>
    <tableColumn id="4" xr3:uid="{70A389EF-28E0-4957-B099-3AEA1E6D4E39}" name="EPICOR P/N" dataDxfId="31" dataCellStyle="Normal"/>
    <tableColumn id="5" xr3:uid="{97611EA5-79E0-4F46-A8EC-67099508183B}" name="EPICOR DESCRIPTION" dataDxfId="30" dataCellStyle="Norma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712ECCA-D0F4-426A-A539-9170731E1079}" name="Table7" displayName="Table7" ref="F2:L34" totalsRowShown="0" headerRowDxfId="29" headerRowBorderDxfId="28" tableBorderDxfId="27" totalsRowBorderDxfId="26">
  <autoFilter ref="F2:L34" xr:uid="{1712ECCA-D0F4-426A-A539-9170731E1079}"/>
  <sortState xmlns:xlrd2="http://schemas.microsoft.com/office/spreadsheetml/2017/richdata2" ref="F3:L34">
    <sortCondition ref="I2:I34"/>
  </sortState>
  <tableColumns count="7">
    <tableColumn id="1" xr3:uid="{71E0D1BE-2E9C-494B-A20E-7070DB4F39D4}" name="Number" dataDxfId="25"/>
    <tableColumn id="2" xr3:uid="{826BC370-C82A-40C0-862E-159B8CD5EF2A}" name="ASM" dataDxfId="24"/>
    <tableColumn id="3" xr3:uid="{4506DC11-C821-441F-8B94-FD23D935B6D8}" name="Mtl Seq" dataDxfId="23"/>
    <tableColumn id="4" xr3:uid="{AD074BCB-9B6E-4B17-B3E2-BB2357712415}" name="Part" dataDxfId="22"/>
    <tableColumn id="5" xr3:uid="{C1BF5077-74D0-4780-ADE0-C6763CFB6294}" name="Qty / Parent" dataDxfId="21"/>
    <tableColumn id="6" xr3:uid="{6CE5BA7F-BB6E-4CBB-86D1-EA481496507F}" name="UOM" dataDxfId="20"/>
    <tableColumn id="7" xr3:uid="{9F613B7B-CCCA-4CF0-BF00-E7ABCD249854}" name="Desc" dataDxfId="19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1AA2A81-EE76-4CAA-B480-82280AFB3569}" name="Table59" displayName="Table59" ref="N2:P21" totalsRowShown="0" headerRowDxfId="18" dataDxfId="16" headerRowBorderDxfId="17" tableBorderDxfId="15" totalsRowBorderDxfId="14">
  <autoFilter ref="N2:P21" xr:uid="{F1AA2A81-EE76-4CAA-B480-82280AFB3569}"/>
  <sortState xmlns:xlrd2="http://schemas.microsoft.com/office/spreadsheetml/2017/richdata2" ref="N3:P21">
    <sortCondition ref="N37:N56"/>
  </sortState>
  <tableColumns count="3">
    <tableColumn id="1" xr3:uid="{2912DAC8-C526-47BE-89D2-4DF434E8E37A}" name="Size" dataDxfId="13"/>
    <tableColumn id="2" xr3:uid="{A367D073-5A30-4AC3-A250-768DF23F2EF8}" name="Tag" dataDxfId="12"/>
    <tableColumn id="3" xr3:uid="{DE2F53E0-6837-4A17-9A4B-89465D54E5FB}" name="Transcribed Contents" dataDxfId="11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840055-E232-45D5-9825-CBB13E43D9BC}" name="Table2" displayName="Table2" ref="B41:H197" totalsRowShown="0" headerRowDxfId="10" headerRowBorderDxfId="9" tableBorderDxfId="8" totalsRowBorderDxfId="7">
  <autoFilter ref="B41:H197" xr:uid="{E2840055-E232-45D5-9825-CBB13E43D9BC}"/>
  <sortState xmlns:xlrd2="http://schemas.microsoft.com/office/spreadsheetml/2017/richdata2" ref="B42:G197">
    <sortCondition ref="B41:B197"/>
  </sortState>
  <tableColumns count="7">
    <tableColumn id="1" xr3:uid="{ABDA5A63-2E31-4B36-A1EB-A30BE56639C7}" name="Type" dataDxfId="6"/>
    <tableColumn id="2" xr3:uid="{CF5B49F0-7090-441D-8B17-FC423EDEEB19}" name="Size (AWG/kcmil)" dataDxfId="5"/>
    <tableColumn id="3" xr3:uid="{6BCE6C75-8B08-49BA-BB72-D15AA6AE51D9}" name="Area mm^2" dataDxfId="4"/>
    <tableColumn id="4" xr3:uid="{FBBADDAE-3CCA-457D-BFC2-629163835293}" name="Area in^2" dataDxfId="3"/>
    <tableColumn id="5" xr3:uid="{2B8A661C-A50A-4D57-B251-BF5E32564679}" name="Diameter mm" dataDxfId="2"/>
    <tableColumn id="6" xr3:uid="{0371B6E2-962F-4296-A97E-3879B9BC25E1}" name="Diameter in" dataDxfId="1"/>
    <tableColumn id="7" xr3:uid="{B88172F1-7010-4A30-9724-8D398697B644}" name="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AA986-52DA-48B4-860C-F322CC0BF513}">
  <dimension ref="A1:W82"/>
  <sheetViews>
    <sheetView tabSelected="1" topLeftCell="A50" zoomScale="112" zoomScaleNormal="112" workbookViewId="0">
      <selection activeCell="M79" sqref="M79"/>
    </sheetView>
  </sheetViews>
  <sheetFormatPr defaultRowHeight="15"/>
  <cols>
    <col min="1" max="1" width="11.28515625" bestFit="1" customWidth="1"/>
    <col min="2" max="2" width="16" bestFit="1" customWidth="1"/>
    <col min="3" max="4" width="16" customWidth="1"/>
    <col min="5" max="5" width="22.140625" bestFit="1" customWidth="1"/>
    <col min="6" max="6" width="16.5703125" bestFit="1" customWidth="1"/>
    <col min="7" max="7" width="16.140625" bestFit="1" customWidth="1"/>
    <col min="8" max="8" width="20.140625" bestFit="1" customWidth="1"/>
    <col min="9" max="9" width="12.140625" bestFit="1" customWidth="1"/>
    <col min="10" max="10" width="23" bestFit="1" customWidth="1"/>
    <col min="11" max="11" width="17.28515625" bestFit="1" customWidth="1"/>
    <col min="12" max="12" width="7.5703125" bestFit="1" customWidth="1"/>
    <col min="13" max="13" width="23" bestFit="1" customWidth="1"/>
    <col min="14" max="14" width="15.85546875" bestFit="1" customWidth="1"/>
    <col min="15" max="15" width="25.7109375" bestFit="1" customWidth="1"/>
    <col min="16" max="16" width="18.42578125" customWidth="1"/>
    <col min="17" max="17" width="27.5703125" customWidth="1"/>
    <col min="18" max="18" width="19.7109375" customWidth="1"/>
    <col min="19" max="19" width="12.140625" bestFit="1" customWidth="1"/>
    <col min="20" max="20" width="12.7109375" customWidth="1"/>
    <col min="21" max="21" width="21.5703125" bestFit="1" customWidth="1"/>
    <col min="22" max="22" width="14.140625" bestFit="1" customWidth="1"/>
    <col min="23" max="23" width="7.5703125" bestFit="1" customWidth="1"/>
    <col min="24" max="24" width="13.85546875" bestFit="1" customWidth="1"/>
    <col min="25" max="25" width="9" bestFit="1" customWidth="1"/>
    <col min="26" max="26" width="10" bestFit="1" customWidth="1"/>
    <col min="27" max="27" width="12.140625" bestFit="1" customWidth="1"/>
    <col min="28" max="28" width="16.5703125" bestFit="1" customWidth="1"/>
  </cols>
  <sheetData>
    <row r="1" spans="1:20">
      <c r="A1" s="173" t="s">
        <v>1385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</row>
    <row r="2" spans="1:20">
      <c r="A2" t="s">
        <v>190</v>
      </c>
      <c r="B2" t="s">
        <v>1386</v>
      </c>
      <c r="C2" t="s">
        <v>1387</v>
      </c>
      <c r="D2" t="s">
        <v>0</v>
      </c>
      <c r="E2" t="s">
        <v>191</v>
      </c>
      <c r="F2" t="s">
        <v>188</v>
      </c>
      <c r="G2" t="s">
        <v>189</v>
      </c>
      <c r="H2" t="s">
        <v>314</v>
      </c>
      <c r="I2" t="s">
        <v>346</v>
      </c>
      <c r="J2" t="s">
        <v>198</v>
      </c>
      <c r="K2" t="s">
        <v>320</v>
      </c>
      <c r="M2" s="173" t="s">
        <v>302</v>
      </c>
      <c r="N2" s="173"/>
      <c r="O2" s="173"/>
      <c r="P2" s="173"/>
      <c r="Q2" s="173"/>
      <c r="R2" s="173"/>
      <c r="S2" s="173"/>
      <c r="T2" s="173"/>
    </row>
    <row r="3" spans="1:20">
      <c r="A3" t="s">
        <v>258</v>
      </c>
      <c r="E3" t="s">
        <v>217</v>
      </c>
      <c r="F3" t="s">
        <v>218</v>
      </c>
      <c r="G3" t="s">
        <v>242</v>
      </c>
      <c r="H3" t="s">
        <v>339</v>
      </c>
      <c r="I3">
        <v>2</v>
      </c>
      <c r="J3" t="s">
        <v>281</v>
      </c>
      <c r="M3" t="s">
        <v>200</v>
      </c>
      <c r="N3" t="s">
        <v>201</v>
      </c>
      <c r="O3" t="s">
        <v>55</v>
      </c>
      <c r="P3" t="s">
        <v>202</v>
      </c>
      <c r="Q3" t="s">
        <v>204</v>
      </c>
      <c r="R3" t="s">
        <v>0</v>
      </c>
      <c r="S3" t="s">
        <v>134</v>
      </c>
      <c r="T3" t="s">
        <v>199</v>
      </c>
    </row>
    <row r="4" spans="1:20">
      <c r="A4" t="s">
        <v>259</v>
      </c>
      <c r="E4" t="s">
        <v>217</v>
      </c>
      <c r="F4" t="s">
        <v>218</v>
      </c>
      <c r="G4" t="s">
        <v>242</v>
      </c>
      <c r="H4" t="s">
        <v>339</v>
      </c>
      <c r="I4">
        <v>2</v>
      </c>
      <c r="J4" t="s">
        <v>281</v>
      </c>
      <c r="M4" t="s">
        <v>309</v>
      </c>
      <c r="N4" t="s">
        <v>343</v>
      </c>
      <c r="O4" t="s">
        <v>60</v>
      </c>
      <c r="P4" t="s">
        <v>311</v>
      </c>
      <c r="Q4" t="s">
        <v>205</v>
      </c>
      <c r="R4" t="s">
        <v>203</v>
      </c>
      <c r="S4" t="s">
        <v>206</v>
      </c>
      <c r="T4">
        <v>0.28699999999999998</v>
      </c>
    </row>
    <row r="5" spans="1:20">
      <c r="A5" t="s">
        <v>224</v>
      </c>
      <c r="E5" t="s">
        <v>217</v>
      </c>
      <c r="F5" t="s">
        <v>218</v>
      </c>
      <c r="G5" t="s">
        <v>230</v>
      </c>
      <c r="H5" t="s">
        <v>343</v>
      </c>
      <c r="I5">
        <v>1</v>
      </c>
      <c r="J5" t="s">
        <v>280</v>
      </c>
      <c r="M5" t="s">
        <v>309</v>
      </c>
      <c r="N5" t="s">
        <v>344</v>
      </c>
      <c r="O5" t="s">
        <v>60</v>
      </c>
      <c r="P5" t="s">
        <v>312</v>
      </c>
      <c r="Q5" t="s">
        <v>205</v>
      </c>
      <c r="R5" t="s">
        <v>203</v>
      </c>
      <c r="S5" t="s">
        <v>206</v>
      </c>
      <c r="T5">
        <v>0.32500000000000001</v>
      </c>
    </row>
    <row r="6" spans="1:20">
      <c r="A6" t="s">
        <v>225</v>
      </c>
      <c r="E6" t="s">
        <v>217</v>
      </c>
      <c r="F6" t="s">
        <v>218</v>
      </c>
      <c r="G6" t="s">
        <v>231</v>
      </c>
      <c r="H6" t="s">
        <v>343</v>
      </c>
      <c r="I6">
        <v>1</v>
      </c>
      <c r="J6" t="s">
        <v>280</v>
      </c>
      <c r="M6" t="s">
        <v>309</v>
      </c>
      <c r="N6" t="s">
        <v>345</v>
      </c>
      <c r="O6" t="s">
        <v>60</v>
      </c>
      <c r="P6" t="s">
        <v>310</v>
      </c>
      <c r="Q6" t="s">
        <v>205</v>
      </c>
      <c r="R6" t="s">
        <v>203</v>
      </c>
      <c r="S6" t="s">
        <v>206</v>
      </c>
      <c r="T6">
        <v>0.35499999999999998</v>
      </c>
    </row>
    <row r="7" spans="1:20">
      <c r="A7" t="s">
        <v>226</v>
      </c>
      <c r="E7" t="s">
        <v>217</v>
      </c>
      <c r="F7" t="s">
        <v>218</v>
      </c>
      <c r="G7" t="s">
        <v>231</v>
      </c>
      <c r="H7" t="s">
        <v>343</v>
      </c>
      <c r="I7">
        <v>1</v>
      </c>
      <c r="J7" t="s">
        <v>280</v>
      </c>
      <c r="M7" t="s">
        <v>306</v>
      </c>
      <c r="N7" t="s">
        <v>339</v>
      </c>
      <c r="O7" t="s">
        <v>60</v>
      </c>
      <c r="P7" t="s">
        <v>307</v>
      </c>
      <c r="Q7" t="s">
        <v>313</v>
      </c>
      <c r="R7" t="s">
        <v>203</v>
      </c>
      <c r="S7" t="s">
        <v>308</v>
      </c>
      <c r="T7">
        <v>9.5000000000000001E-2</v>
      </c>
    </row>
    <row r="8" spans="1:20">
      <c r="A8" t="s">
        <v>227</v>
      </c>
      <c r="E8" t="s">
        <v>217</v>
      </c>
      <c r="F8" t="s">
        <v>218</v>
      </c>
      <c r="G8" t="s">
        <v>231</v>
      </c>
      <c r="H8" t="s">
        <v>343</v>
      </c>
      <c r="I8">
        <v>1</v>
      </c>
      <c r="J8" t="s">
        <v>280</v>
      </c>
      <c r="M8" t="s">
        <v>306</v>
      </c>
      <c r="N8" t="s">
        <v>340</v>
      </c>
      <c r="O8" t="s">
        <v>63</v>
      </c>
      <c r="P8" t="s">
        <v>307</v>
      </c>
      <c r="Q8" t="s">
        <v>313</v>
      </c>
      <c r="R8" t="s">
        <v>203</v>
      </c>
      <c r="S8" t="s">
        <v>206</v>
      </c>
      <c r="T8">
        <v>0.16</v>
      </c>
    </row>
    <row r="9" spans="1:20">
      <c r="A9" t="s">
        <v>262</v>
      </c>
      <c r="E9" t="s">
        <v>217</v>
      </c>
      <c r="F9" t="s">
        <v>218</v>
      </c>
      <c r="G9" t="s">
        <v>242</v>
      </c>
      <c r="H9" t="s">
        <v>339</v>
      </c>
      <c r="I9">
        <v>2</v>
      </c>
      <c r="J9" t="s">
        <v>280</v>
      </c>
      <c r="M9" t="s">
        <v>306</v>
      </c>
      <c r="N9" t="s">
        <v>341</v>
      </c>
      <c r="O9" t="s">
        <v>65</v>
      </c>
      <c r="P9" t="s">
        <v>307</v>
      </c>
      <c r="Q9" t="s">
        <v>313</v>
      </c>
      <c r="R9" t="s">
        <v>203</v>
      </c>
      <c r="S9" t="s">
        <v>206</v>
      </c>
    </row>
    <row r="10" spans="1:20">
      <c r="A10" t="s">
        <v>263</v>
      </c>
      <c r="E10" t="s">
        <v>217</v>
      </c>
      <c r="F10" t="s">
        <v>218</v>
      </c>
      <c r="G10" t="s">
        <v>242</v>
      </c>
      <c r="H10" t="s">
        <v>339</v>
      </c>
      <c r="I10">
        <v>2</v>
      </c>
      <c r="J10" t="s">
        <v>280</v>
      </c>
      <c r="M10" t="s">
        <v>305</v>
      </c>
      <c r="N10" t="s">
        <v>342</v>
      </c>
      <c r="O10" t="s">
        <v>61</v>
      </c>
      <c r="P10" t="s">
        <v>312</v>
      </c>
      <c r="Q10" t="s">
        <v>313</v>
      </c>
      <c r="R10" t="s">
        <v>203</v>
      </c>
      <c r="S10" t="s">
        <v>206</v>
      </c>
    </row>
    <row r="11" spans="1:20">
      <c r="A11" t="s">
        <v>264</v>
      </c>
      <c r="E11" t="s">
        <v>217</v>
      </c>
      <c r="F11" t="s">
        <v>218</v>
      </c>
      <c r="G11" t="s">
        <v>242</v>
      </c>
      <c r="H11" t="s">
        <v>339</v>
      </c>
      <c r="I11">
        <v>2</v>
      </c>
      <c r="J11" t="s">
        <v>280</v>
      </c>
      <c r="M11" t="s">
        <v>348</v>
      </c>
      <c r="N11" t="s">
        <v>349</v>
      </c>
      <c r="O11" t="s">
        <v>59</v>
      </c>
      <c r="P11" t="s">
        <v>350</v>
      </c>
      <c r="Q11" t="s">
        <v>313</v>
      </c>
      <c r="R11" t="s">
        <v>203</v>
      </c>
      <c r="S11" t="s">
        <v>206</v>
      </c>
      <c r="T11">
        <v>0.43</v>
      </c>
    </row>
    <row r="12" spans="1:20">
      <c r="A12" t="s">
        <v>277</v>
      </c>
      <c r="E12" t="s">
        <v>217</v>
      </c>
      <c r="F12" t="s">
        <v>257</v>
      </c>
      <c r="G12" t="s">
        <v>193</v>
      </c>
      <c r="H12" t="s">
        <v>343</v>
      </c>
      <c r="I12">
        <v>1</v>
      </c>
      <c r="J12" t="s">
        <v>280</v>
      </c>
      <c r="M12" t="s">
        <v>348</v>
      </c>
      <c r="N12" t="s">
        <v>351</v>
      </c>
      <c r="O12" t="s">
        <v>59</v>
      </c>
      <c r="P12" t="s">
        <v>350</v>
      </c>
      <c r="Q12" t="s">
        <v>205</v>
      </c>
      <c r="R12" t="s">
        <v>203</v>
      </c>
      <c r="S12" t="s">
        <v>206</v>
      </c>
      <c r="T12">
        <v>0.51</v>
      </c>
    </row>
    <row r="13" spans="1:20">
      <c r="A13" t="s">
        <v>296</v>
      </c>
      <c r="E13" t="s">
        <v>217</v>
      </c>
      <c r="F13" t="s">
        <v>257</v>
      </c>
      <c r="G13" t="s">
        <v>193</v>
      </c>
      <c r="H13" t="s">
        <v>343</v>
      </c>
      <c r="I13">
        <v>1</v>
      </c>
      <c r="J13" t="s">
        <v>280</v>
      </c>
    </row>
    <row r="14" spans="1:20">
      <c r="A14" t="s">
        <v>223</v>
      </c>
      <c r="E14" t="s">
        <v>217</v>
      </c>
      <c r="F14" t="s">
        <v>218</v>
      </c>
      <c r="G14" t="s">
        <v>193</v>
      </c>
      <c r="H14" t="s">
        <v>343</v>
      </c>
      <c r="I14">
        <v>1</v>
      </c>
      <c r="J14" t="s">
        <v>299</v>
      </c>
    </row>
    <row r="15" spans="1:20">
      <c r="A15" t="s">
        <v>241</v>
      </c>
      <c r="E15" t="s">
        <v>217</v>
      </c>
      <c r="F15" t="s">
        <v>257</v>
      </c>
      <c r="G15" t="s">
        <v>242</v>
      </c>
      <c r="H15" t="s">
        <v>339</v>
      </c>
      <c r="I15">
        <v>2</v>
      </c>
      <c r="J15" t="s">
        <v>299</v>
      </c>
    </row>
    <row r="16" spans="1:20">
      <c r="A16" t="s">
        <v>278</v>
      </c>
      <c r="E16" t="s">
        <v>194</v>
      </c>
      <c r="F16" t="s">
        <v>257</v>
      </c>
      <c r="G16" t="s">
        <v>195</v>
      </c>
      <c r="H16" t="s">
        <v>344</v>
      </c>
      <c r="I16">
        <v>1</v>
      </c>
      <c r="J16" t="s">
        <v>300</v>
      </c>
      <c r="K16" t="s">
        <v>335</v>
      </c>
    </row>
    <row r="17" spans="1:23">
      <c r="A17" t="s">
        <v>279</v>
      </c>
      <c r="E17" t="s">
        <v>194</v>
      </c>
      <c r="F17" t="s">
        <v>257</v>
      </c>
      <c r="G17" t="s">
        <v>195</v>
      </c>
      <c r="H17" t="s">
        <v>344</v>
      </c>
      <c r="I17">
        <v>1</v>
      </c>
      <c r="J17" t="s">
        <v>300</v>
      </c>
      <c r="K17" t="s">
        <v>334</v>
      </c>
    </row>
    <row r="18" spans="1:23">
      <c r="A18" t="s">
        <v>297</v>
      </c>
      <c r="E18" t="s">
        <v>194</v>
      </c>
      <c r="F18" t="s">
        <v>257</v>
      </c>
      <c r="G18" t="s">
        <v>193</v>
      </c>
      <c r="H18" t="s">
        <v>343</v>
      </c>
      <c r="I18">
        <v>1</v>
      </c>
      <c r="J18" t="s">
        <v>300</v>
      </c>
      <c r="K18" t="s">
        <v>335</v>
      </c>
    </row>
    <row r="19" spans="1:23">
      <c r="A19" t="s">
        <v>298</v>
      </c>
      <c r="E19" t="s">
        <v>194</v>
      </c>
      <c r="F19" t="s">
        <v>257</v>
      </c>
      <c r="G19" t="s">
        <v>193</v>
      </c>
      <c r="H19" t="s">
        <v>343</v>
      </c>
      <c r="I19">
        <v>1</v>
      </c>
      <c r="J19" t="s">
        <v>300</v>
      </c>
      <c r="K19" t="s">
        <v>335</v>
      </c>
    </row>
    <row r="20" spans="1:23">
      <c r="A20" t="s">
        <v>228</v>
      </c>
      <c r="E20" t="s">
        <v>217</v>
      </c>
      <c r="F20" t="s">
        <v>257</v>
      </c>
      <c r="G20" t="s">
        <v>242</v>
      </c>
      <c r="H20" t="s">
        <v>339</v>
      </c>
      <c r="I20">
        <v>2</v>
      </c>
      <c r="J20" t="s">
        <v>243</v>
      </c>
      <c r="K20" t="s">
        <v>331</v>
      </c>
    </row>
    <row r="21" spans="1:23">
      <c r="A21" t="s">
        <v>229</v>
      </c>
      <c r="E21" t="s">
        <v>217</v>
      </c>
      <c r="F21" t="s">
        <v>257</v>
      </c>
      <c r="G21" t="s">
        <v>242</v>
      </c>
      <c r="H21" t="s">
        <v>339</v>
      </c>
      <c r="I21">
        <v>2</v>
      </c>
      <c r="J21" t="s">
        <v>243</v>
      </c>
      <c r="K21" t="s">
        <v>331</v>
      </c>
    </row>
    <row r="22" spans="1:23">
      <c r="A22" t="s">
        <v>232</v>
      </c>
      <c r="E22" t="s">
        <v>217</v>
      </c>
      <c r="F22" t="s">
        <v>257</v>
      </c>
      <c r="G22" t="s">
        <v>242</v>
      </c>
      <c r="H22" t="s">
        <v>339</v>
      </c>
      <c r="I22">
        <v>2</v>
      </c>
      <c r="J22" t="s">
        <v>243</v>
      </c>
      <c r="K22" t="s">
        <v>331</v>
      </c>
    </row>
    <row r="23" spans="1:23">
      <c r="A23" t="s">
        <v>233</v>
      </c>
      <c r="E23" t="s">
        <v>217</v>
      </c>
      <c r="F23" t="s">
        <v>257</v>
      </c>
      <c r="G23" t="s">
        <v>242</v>
      </c>
      <c r="H23" t="s">
        <v>339</v>
      </c>
      <c r="I23">
        <v>2</v>
      </c>
      <c r="J23" t="s">
        <v>243</v>
      </c>
      <c r="K23" t="s">
        <v>331</v>
      </c>
    </row>
    <row r="24" spans="1:23">
      <c r="A24" t="s">
        <v>234</v>
      </c>
      <c r="E24" t="s">
        <v>217</v>
      </c>
      <c r="F24" t="s">
        <v>257</v>
      </c>
      <c r="G24" t="s">
        <v>242</v>
      </c>
      <c r="H24" t="s">
        <v>339</v>
      </c>
      <c r="I24">
        <v>2</v>
      </c>
      <c r="J24" t="s">
        <v>243</v>
      </c>
      <c r="K24" t="s">
        <v>332</v>
      </c>
    </row>
    <row r="25" spans="1:23">
      <c r="A25" t="s">
        <v>235</v>
      </c>
      <c r="E25" t="s">
        <v>217</v>
      </c>
      <c r="F25" t="s">
        <v>257</v>
      </c>
      <c r="G25" t="s">
        <v>242</v>
      </c>
      <c r="H25" t="s">
        <v>339</v>
      </c>
      <c r="I25">
        <v>2</v>
      </c>
      <c r="J25" t="s">
        <v>243</v>
      </c>
      <c r="K25" t="s">
        <v>332</v>
      </c>
      <c r="M25" s="42"/>
      <c r="N25" s="42"/>
      <c r="O25" s="42"/>
      <c r="P25" s="174" t="s">
        <v>315</v>
      </c>
      <c r="Q25" s="174"/>
      <c r="R25" s="174"/>
      <c r="S25" s="48"/>
      <c r="U25" s="51"/>
      <c r="V25" s="51"/>
      <c r="W25" s="51"/>
    </row>
    <row r="26" spans="1:23" ht="30">
      <c r="A26" t="s">
        <v>250</v>
      </c>
      <c r="E26" t="s">
        <v>217</v>
      </c>
      <c r="F26" t="s">
        <v>257</v>
      </c>
      <c r="G26" t="s">
        <v>242</v>
      </c>
      <c r="H26" t="s">
        <v>339</v>
      </c>
      <c r="I26">
        <v>2</v>
      </c>
      <c r="J26" t="s">
        <v>243</v>
      </c>
      <c r="K26" t="s">
        <v>331</v>
      </c>
      <c r="M26" s="47" t="s">
        <v>336</v>
      </c>
      <c r="N26" s="47" t="s">
        <v>197</v>
      </c>
      <c r="O26" s="47" t="s">
        <v>196</v>
      </c>
      <c r="P26" s="46" t="s">
        <v>317</v>
      </c>
      <c r="Q26" s="46" t="s">
        <v>318</v>
      </c>
      <c r="R26" s="46" t="s">
        <v>319</v>
      </c>
      <c r="S26" s="49" t="s">
        <v>337</v>
      </c>
      <c r="T26" s="42"/>
      <c r="U26" s="52"/>
      <c r="V26" s="53"/>
      <c r="W26" s="53"/>
    </row>
    <row r="27" spans="1:23">
      <c r="A27" t="s">
        <v>251</v>
      </c>
      <c r="E27" t="s">
        <v>217</v>
      </c>
      <c r="F27" t="s">
        <v>257</v>
      </c>
      <c r="G27" t="s">
        <v>242</v>
      </c>
      <c r="H27" t="s">
        <v>339</v>
      </c>
      <c r="I27">
        <v>2</v>
      </c>
      <c r="J27" t="s">
        <v>243</v>
      </c>
      <c r="K27" t="s">
        <v>332</v>
      </c>
      <c r="M27" s="43" t="str" cm="1">
        <f t="array" ref="M27">IFERROR(INDEX(_xlfn._xlws.SORT(_xlfn.UNIQUE(_xlfn._xlws.FILTER(_xlfn.VSTACK(Table3[[Conduit ]],Table3[Conduit Branch]),_xlfn.VSTACK(Table3[[Conduit ]],Table3[Conduit Branch])&lt;&gt;""))),ROWS($M$27:M27)),"")</f>
        <v>B1</v>
      </c>
      <c r="N27" s="44" cm="1">
        <f t="array" ref="N27">IF($M27="","",_xlfn.LET(_xlpm.item,$M27,_xlpm.qty,IF(Table3[Cable Qty]="",1,Table3[Cable Qty]),SUMPRODUCT(--(((Table3[[Conduit ]]=_xlpm.item)+(Table3[Conduit Branch]=_xlpm.item))&gt;0),_xlpm.qty)))</f>
        <v>2</v>
      </c>
      <c r="O27" s="45" cm="1">
        <f t="array" ref="O27">IF($M27="","",_xlfn.LET(_xlpm.item,$M27,_xlpm.diameters,_xlfn.XLOOKUP(Table3[Cable Designation]&amp;"",Table6[Designation]&amp;"",Table6[Nom Diameter],0),_xlpm.qty,IFERROR(Table3[Cable Qty],1),SUMPRODUCT(((Table3[[Conduit ]]=_xlpm.item)+(Table3[Conduit Branch]=_xlpm.item))*_xlpm.qty*PI()*(_xlpm.diameters/2)^2)))</f>
        <v>0</v>
      </c>
      <c r="P27" s="41" t="str" cm="1">
        <f t="array" ref="P27">IF($M27="","",_xlfn.LET(_xlpm.area,$O27,_xlpm.cnt,$N27,_xlpm.sizes,'Conduit Tables'!$C$4:$C$16,_xlpm.cap,IF(_xlpm.cnt=1,'Conduit Tables'!$I$4:$I$16,IF(_xlpm.cnt=2,'Conduit Tables'!$K$4:$K$16,'Conduit Tables'!$E$4:$E$16)),_xlfn.XLOOKUP(TRUE,IF(ISNUMBER(_xlpm.cap),_xlpm.cap&gt;=_xlpm.area,FALSE),_xlpm.sizes,"No size")))</f>
        <v>½</v>
      </c>
      <c r="Q27" s="41" t="str" cm="1">
        <f t="array" ref="Q27">IF($M27="","",_xlfn.LET(_xlpm.area,$O27,_xlpm.cnt,$N27,_xlpm.sizes,'Conduit Tables'!$C$20:$C$26,_xlpm.cap,IF(_xlpm.cnt=1,'Conduit Tables'!$I$20:$I$26,IF(_xlpm.cnt=2,'Conduit Tables'!$K$20:$K$26,'Conduit Tables'!$E$20:$E$26)),_xlfn.XLOOKUP(TRUE,IF(ISNUMBER(_xlpm.cap),_xlpm.cap&gt;=_xlpm.area,FALSE),_xlpm.sizes,"No size")))</f>
        <v>3/8</v>
      </c>
      <c r="R27" s="41" t="str" cm="1">
        <f t="array" ref="R27">IF($M27="","",_xlfn.LET(_xlpm.area,$O27,_xlpm.cnt,$N27,_xlpm.sizes,'Conduit Tables'!$C$30:$C$38,_xlpm.cap,IF(_xlpm.cnt=1,'Conduit Tables'!$I$30:$I$38,IF(_xlpm.cnt=2,'Conduit Tables'!$K$30:$K$38,'Conduit Tables'!$E$30:$E$38)),_xlfn.XLOOKUP(TRUE,IF(ISNUMBER(_xlpm.cap),_xlpm.cap&gt;=_xlpm.area,FALSE),_xlpm.sizes,"No size")))</f>
        <v>3/8</v>
      </c>
      <c r="S27" s="50" t="s">
        <v>125</v>
      </c>
      <c r="U27" s="53"/>
      <c r="V27" s="53"/>
      <c r="W27" s="53"/>
    </row>
    <row r="28" spans="1:23">
      <c r="A28" t="s">
        <v>252</v>
      </c>
      <c r="E28" t="s">
        <v>217</v>
      </c>
      <c r="F28" t="s">
        <v>257</v>
      </c>
      <c r="G28" t="s">
        <v>242</v>
      </c>
      <c r="H28" t="s">
        <v>339</v>
      </c>
      <c r="I28">
        <v>2</v>
      </c>
      <c r="J28" t="s">
        <v>243</v>
      </c>
      <c r="K28" t="s">
        <v>331</v>
      </c>
      <c r="M28" s="43" t="str" cm="1">
        <f t="array" ref="M28">IFERROR(INDEX(_xlfn._xlws.SORT(_xlfn.UNIQUE(_xlfn._xlws.FILTER(_xlfn.VSTACK(Table3[[Conduit ]],Table3[Conduit Branch]),_xlfn.VSTACK(Table3[[Conduit ]],Table3[Conduit Branch])&lt;&gt;""))),ROWS($M$27:M28)),"")</f>
        <v>B2</v>
      </c>
      <c r="N28" s="44" cm="1">
        <f t="array" ref="N28">IF($M28="","",_xlfn.LET(_xlpm.item,$M28,_xlpm.qty,IF(Table3[Cable Qty]="",1,Table3[Cable Qty]),SUMPRODUCT(--(((Table3[[Conduit ]]=_xlpm.item)+(Table3[Conduit Branch]=_xlpm.item))&gt;0),_xlpm.qty)))</f>
        <v>2</v>
      </c>
      <c r="O28" s="45" cm="1">
        <f t="array" ref="O28">IF($M28="","",_xlfn.LET(_xlpm.item,$M28,_xlpm.diameters,_xlfn.XLOOKUP(Table3[Cable Designation]&amp;"",Table6[Designation]&amp;"",Table6[Nom Diameter],0),_xlpm.qty,IFERROR(Table3[Cable Qty],1),SUMPRODUCT(((Table3[[Conduit ]]=_xlpm.item)+(Table3[Conduit Branch]=_xlpm.item))*_xlpm.qty*PI()*(_xlpm.diameters/2)^2)))</f>
        <v>0</v>
      </c>
      <c r="P28" s="41" t="str" cm="1">
        <f t="array" ref="P28">IF($M28="","",_xlfn.LET(_xlpm.area,$O28,_xlpm.cnt,$N28,_xlpm.sizes,'Conduit Tables'!$C$4:$C$16,_xlpm.cap,IF(_xlpm.cnt=1,'Conduit Tables'!$I$4:$I$16,IF(_xlpm.cnt=2,'Conduit Tables'!$K$4:$K$16,'Conduit Tables'!$E$4:$E$16)),_xlfn.XLOOKUP(TRUE,IF(ISNUMBER(_xlpm.cap),_xlpm.cap&gt;=_xlpm.area,FALSE),_xlpm.sizes,"No size")))</f>
        <v>½</v>
      </c>
      <c r="Q28" s="41" t="str" cm="1">
        <f t="array" ref="Q28">IF($M28="","",_xlfn.LET(_xlpm.area,$O28,_xlpm.cnt,$N28,_xlpm.sizes,'Conduit Tables'!$C$20:$C$26,_xlpm.cap,IF(_xlpm.cnt=1,'Conduit Tables'!$I$20:$I$26,IF(_xlpm.cnt=2,'Conduit Tables'!$K$20:$K$26,'Conduit Tables'!$E$20:$E$26)),_xlfn.XLOOKUP(TRUE,IF(ISNUMBER(_xlpm.cap),_xlpm.cap&gt;=_xlpm.area,FALSE),_xlpm.sizes,"No size")))</f>
        <v>3/8</v>
      </c>
      <c r="R28" s="41" t="str" cm="1">
        <f t="array" ref="R28">IF($M28="","",_xlfn.LET(_xlpm.area,$O28,_xlpm.cnt,$N28,_xlpm.sizes,'Conduit Tables'!$C$30:$C$38,_xlpm.cap,IF(_xlpm.cnt=1,'Conduit Tables'!$I$30:$I$38,IF(_xlpm.cnt=2,'Conduit Tables'!$K$30:$K$38,'Conduit Tables'!$E$30:$E$38)),_xlfn.XLOOKUP(TRUE,IF(ISNUMBER(_xlpm.cap),_xlpm.cap&gt;=_xlpm.area,FALSE),_xlpm.sizes,"No size")))</f>
        <v>3/8</v>
      </c>
      <c r="S28" s="50" t="s">
        <v>125</v>
      </c>
      <c r="U28" s="53"/>
      <c r="V28" s="53"/>
      <c r="W28" s="53"/>
    </row>
    <row r="29" spans="1:23">
      <c r="A29" t="s">
        <v>253</v>
      </c>
      <c r="E29" t="s">
        <v>217</v>
      </c>
      <c r="F29" t="s">
        <v>257</v>
      </c>
      <c r="G29" t="s">
        <v>242</v>
      </c>
      <c r="H29" t="s">
        <v>339</v>
      </c>
      <c r="I29">
        <v>2</v>
      </c>
      <c r="J29" t="s">
        <v>243</v>
      </c>
      <c r="K29" t="s">
        <v>330</v>
      </c>
      <c r="M29" s="43" t="str" cm="1">
        <f t="array" ref="M29">IFERROR(INDEX(_xlfn._xlws.SORT(_xlfn.UNIQUE(_xlfn._xlws.FILTER(_xlfn.VSTACK(Table3[[Conduit ]],Table3[Conduit Branch]),_xlfn.VSTACK(Table3[[Conduit ]],Table3[Conduit Branch])&lt;&gt;""))),ROWS($M$27:M29)),"")</f>
        <v>BLUE</v>
      </c>
      <c r="N29" s="44" cm="1">
        <f t="array" ref="N29">IF($M29="","",_xlfn.LET(_xlpm.item,$M29,_xlpm.qty,IF(Table3[Cable Qty]="",1,Table3[Cable Qty]),SUMPRODUCT(--(((Table3[[Conduit ]]=_xlpm.item)+(Table3[Conduit Branch]=_xlpm.item))&gt;0),_xlpm.qty)))</f>
        <v>4</v>
      </c>
      <c r="O29" s="45" cm="1">
        <f t="array" ref="O29">IF($M29="","",_xlfn.LET(_xlpm.item,$M29,_xlpm.diameters,_xlfn.XLOOKUP(Table3[Cable Designation]&amp;"",Table6[Designation]&amp;"",Table6[Nom Diameter],0),_xlpm.qty,IFERROR(Table3[Cable Qty],1),SUMPRODUCT(((Table3[[Conduit ]]=_xlpm.item)+(Table3[Conduit Branch]=_xlpm.item))*_xlpm.qty*PI()*(_xlpm.diameters/2)^2)))</f>
        <v>0</v>
      </c>
      <c r="P29" s="41" t="str" cm="1">
        <f t="array" ref="P29">IF($M29="","",_xlfn.LET(_xlpm.area,$O29,_xlpm.cnt,$N29,_xlpm.sizes,'Conduit Tables'!$C$4:$C$16,_xlpm.cap,IF(_xlpm.cnt=1,'Conduit Tables'!$I$4:$I$16,IF(_xlpm.cnt=2,'Conduit Tables'!$K$4:$K$16,'Conduit Tables'!$E$4:$E$16)),_xlfn.XLOOKUP(TRUE,IF(ISNUMBER(_xlpm.cap),_xlpm.cap&gt;=_xlpm.area,FALSE),_xlpm.sizes,"No size")))</f>
        <v>½</v>
      </c>
      <c r="Q29" s="41" t="str" cm="1">
        <f t="array" ref="Q29">IF($M29="","",_xlfn.LET(_xlpm.area,$O29,_xlpm.cnt,$N29,_xlpm.sizes,'Conduit Tables'!$C$20:$C$26,_xlpm.cap,IF(_xlpm.cnt=1,'Conduit Tables'!$I$20:$I$26,IF(_xlpm.cnt=2,'Conduit Tables'!$K$20:$K$26,'Conduit Tables'!$E$20:$E$26)),_xlfn.XLOOKUP(TRUE,IF(ISNUMBER(_xlpm.cap),_xlpm.cap&gt;=_xlpm.area,FALSE),_xlpm.sizes,"No size")))</f>
        <v>3/8</v>
      </c>
      <c r="R29" s="41" t="str" cm="1">
        <f t="array" ref="R29">IF($M29="","",_xlfn.LET(_xlpm.area,$O29,_xlpm.cnt,$N29,_xlpm.sizes,'Conduit Tables'!$C$30:$C$38,_xlpm.cap,IF(_xlpm.cnt=1,'Conduit Tables'!$I$30:$I$38,IF(_xlpm.cnt=2,'Conduit Tables'!$K$30:$K$38,'Conduit Tables'!$E$30:$E$38)),_xlfn.XLOOKUP(TRUE,IF(ISNUMBER(_xlpm.cap),_xlpm.cap&gt;=_xlpm.area,FALSE),_xlpm.sizes,"No size")))</f>
        <v>3/8</v>
      </c>
      <c r="S29" s="50" t="s">
        <v>125</v>
      </c>
      <c r="U29" s="53"/>
      <c r="V29" s="53"/>
      <c r="W29" s="53"/>
    </row>
    <row r="30" spans="1:23">
      <c r="A30" t="s">
        <v>265</v>
      </c>
      <c r="E30" t="s">
        <v>217</v>
      </c>
      <c r="F30" t="s">
        <v>257</v>
      </c>
      <c r="G30" t="s">
        <v>193</v>
      </c>
      <c r="H30" t="s">
        <v>343</v>
      </c>
      <c r="I30">
        <v>1</v>
      </c>
      <c r="J30" t="s">
        <v>243</v>
      </c>
      <c r="K30" t="s">
        <v>331</v>
      </c>
      <c r="M30" s="43" t="str" cm="1">
        <f t="array" ref="M30">IFERROR(INDEX(_xlfn._xlws.SORT(_xlfn.UNIQUE(_xlfn._xlws.FILTER(_xlfn.VSTACK(Table3[[Conduit ]],Table3[Conduit Branch]),_xlfn.VSTACK(Table3[[Conduit ]],Table3[Conduit Branch])&lt;&gt;""))),ROWS($M$27:M30)),"")</f>
        <v>CUSTOMER DCS - LCP-1</v>
      </c>
      <c r="N30" s="44" cm="1">
        <f t="array" ref="N30">IF($M30="","",_xlfn.LET(_xlpm.item,$M30,_xlpm.qty,IF(Table3[Cable Qty]="",1,Table3[Cable Qty]),SUMPRODUCT(--(((Table3[[Conduit ]]=_xlpm.item)+(Table3[Conduit Branch]=_xlpm.item))&gt;0),_xlpm.qty)))</f>
        <v>4</v>
      </c>
      <c r="O30" s="45" cm="1">
        <f t="array" ref="O30">IF($M30="","",_xlfn.LET(_xlpm.item,$M30,_xlpm.diameters,_xlfn.XLOOKUP(Table3[Cable Designation]&amp;"",Table6[Designation]&amp;"",Table6[Nom Diameter],0),_xlpm.qty,IFERROR(Table3[Cable Qty],1),SUMPRODUCT(((Table3[[Conduit ]]=_xlpm.item)+(Table3[Conduit Branch]=_xlpm.item))*_xlpm.qty*PI()*(_xlpm.diameters/2)^2)))</f>
        <v>2.8352873698647883E-2</v>
      </c>
      <c r="P30" s="41" t="str" cm="1">
        <f t="array" ref="P30">IF($M30="","",_xlfn.LET(_xlpm.area,$O30,_xlpm.cnt,$N30,_xlpm.sizes,'Conduit Tables'!$C$4:$C$16,_xlpm.cap,IF(_xlpm.cnt=1,'Conduit Tables'!$I$4:$I$16,IF(_xlpm.cnt=2,'Conduit Tables'!$K$4:$K$16,'Conduit Tables'!$E$4:$E$16)),_xlfn.XLOOKUP(TRUE,IF(ISNUMBER(_xlpm.cap),_xlpm.cap&gt;=_xlpm.area,FALSE),_xlpm.sizes,"No size")))</f>
        <v>½</v>
      </c>
      <c r="Q30" s="41" t="str" cm="1">
        <f t="array" ref="Q30">IF($M30="","",_xlfn.LET(_xlpm.area,$O30,_xlpm.cnt,$N30,_xlpm.sizes,'Conduit Tables'!$C$20:$C$26,_xlpm.cap,IF(_xlpm.cnt=1,'Conduit Tables'!$I$20:$I$26,IF(_xlpm.cnt=2,'Conduit Tables'!$K$20:$K$26,'Conduit Tables'!$E$20:$E$26)),_xlfn.XLOOKUP(TRUE,IF(ISNUMBER(_xlpm.cap),_xlpm.cap&gt;=_xlpm.area,FALSE),_xlpm.sizes,"No size")))</f>
        <v>3/8</v>
      </c>
      <c r="R30" s="41" t="str" cm="1">
        <f t="array" ref="R30">IF($M30="","",_xlfn.LET(_xlpm.area,$O30,_xlpm.cnt,$N30,_xlpm.sizes,'Conduit Tables'!$C$30:$C$38,_xlpm.cap,IF(_xlpm.cnt=1,'Conduit Tables'!$I$30:$I$38,IF(_xlpm.cnt=2,'Conduit Tables'!$K$30:$K$38,'Conduit Tables'!$E$30:$E$38)),_xlfn.XLOOKUP(TRUE,IF(ISNUMBER(_xlpm.cap),_xlpm.cap&gt;=_xlpm.area,FALSE),_xlpm.sizes,"No size")))</f>
        <v>3/8</v>
      </c>
      <c r="S30" s="50"/>
      <c r="U30" s="54"/>
      <c r="V30" s="53"/>
      <c r="W30" s="53"/>
    </row>
    <row r="31" spans="1:23">
      <c r="A31" t="s">
        <v>267</v>
      </c>
      <c r="E31" t="s">
        <v>217</v>
      </c>
      <c r="F31" t="s">
        <v>257</v>
      </c>
      <c r="G31" t="s">
        <v>193</v>
      </c>
      <c r="H31" t="s">
        <v>343</v>
      </c>
      <c r="I31">
        <v>1</v>
      </c>
      <c r="J31" t="s">
        <v>243</v>
      </c>
      <c r="K31" t="s">
        <v>331</v>
      </c>
      <c r="M31" s="43" t="str" cm="1">
        <f t="array" ref="M31">IFERROR(INDEX(_xlfn._xlws.SORT(_xlfn.UNIQUE(_xlfn._xlws.FILTER(_xlfn.VSTACK(Table3[[Conduit ]],Table3[Conduit Branch]),_xlfn.VSTACK(Table3[[Conduit ]],Table3[Conduit Branch])&lt;&gt;""))),ROWS($M$27:M31)),"")</f>
        <v>CUSTOMER MCC - LCP-1</v>
      </c>
      <c r="N31" s="44" cm="1">
        <f t="array" ref="N31">IF($M31="","",_xlfn.LET(_xlpm.item,$M31,_xlpm.qty,IF(Table3[Cable Qty]="",1,Table3[Cable Qty]),SUMPRODUCT(--(((Table3[[Conduit ]]=_xlpm.item)+(Table3[Conduit Branch]=_xlpm.item))&gt;0),_xlpm.qty)))</f>
        <v>12</v>
      </c>
      <c r="O31" s="45" cm="1">
        <f t="array" ref="O31">IF($M31="","",_xlfn.LET(_xlpm.item,$M31,_xlpm.diameters,_xlfn.XLOOKUP(Table3[Cable Designation]&amp;"",Table6[Designation]&amp;"",Table6[Nom Diameter],0),_xlpm.qty,IFERROR(Table3[Cable Qty],1),SUMPRODUCT(((Table3[[Conduit ]]=_xlpm.item)+(Table3[Conduit Branch]=_xlpm.item))*_xlpm.qty*PI()*(_xlpm.diameters/2)^2)))</f>
        <v>0.43068407847327833</v>
      </c>
      <c r="P31" s="41" t="str" cm="1">
        <f t="array" ref="P31">IF($M31="","",_xlfn.LET(_xlpm.area,$O31,_xlpm.cnt,$N31,_xlpm.sizes,'Conduit Tables'!$C$4:$C$16,_xlpm.cap,IF(_xlpm.cnt=1,'Conduit Tables'!$I$4:$I$16,IF(_xlpm.cnt=2,'Conduit Tables'!$K$4:$K$16,'Conduit Tables'!$E$4:$E$16)),_xlfn.XLOOKUP(TRUE,IF(ISNUMBER(_xlpm.cap),_xlpm.cap&gt;=_xlpm.area,FALSE),_xlpm.sizes,"No size")))</f>
        <v>1¼</v>
      </c>
      <c r="Q31" s="41" t="str" cm="1">
        <f t="array" ref="Q31">IF($M31="","",_xlfn.LET(_xlpm.area,$O31,_xlpm.cnt,$N31,_xlpm.sizes,'Conduit Tables'!$C$20:$C$26,_xlpm.cap,IF(_xlpm.cnt=1,'Conduit Tables'!$I$20:$I$26,IF(_xlpm.cnt=2,'Conduit Tables'!$K$20:$K$26,'Conduit Tables'!$E$20:$E$26)),_xlfn.XLOOKUP(TRUE,IF(ISNUMBER(_xlpm.cap),_xlpm.cap&gt;=_xlpm.area,FALSE),_xlpm.sizes,"No size")))</f>
        <v>1 1/4</v>
      </c>
      <c r="R31" s="41" t="str" cm="1">
        <f t="array" ref="R31">IF($M31="","",_xlfn.LET(_xlpm.area,$O31,_xlpm.cnt,$N31,_xlpm.sizes,'Conduit Tables'!$C$30:$C$38,_xlpm.cap,IF(_xlpm.cnt=1,'Conduit Tables'!$I$30:$I$38,IF(_xlpm.cnt=2,'Conduit Tables'!$K$30:$K$38,'Conduit Tables'!$E$30:$E$38)),_xlfn.XLOOKUP(TRUE,IF(ISNUMBER(_xlpm.cap),_xlpm.cap&gt;=_xlpm.area,FALSE),_xlpm.sizes,"No size")))</f>
        <v>3/4</v>
      </c>
      <c r="S31" s="50"/>
      <c r="U31" s="54"/>
      <c r="V31" s="53"/>
      <c r="W31" s="53"/>
    </row>
    <row r="32" spans="1:23">
      <c r="A32" t="s">
        <v>270</v>
      </c>
      <c r="E32" t="s">
        <v>217</v>
      </c>
      <c r="F32" t="s">
        <v>257</v>
      </c>
      <c r="G32" t="s">
        <v>193</v>
      </c>
      <c r="H32" t="s">
        <v>343</v>
      </c>
      <c r="I32">
        <v>1</v>
      </c>
      <c r="J32" t="s">
        <v>244</v>
      </c>
      <c r="K32" t="s">
        <v>321</v>
      </c>
      <c r="M32" s="43" t="str" cm="1">
        <f t="array" ref="M32">IFERROR(INDEX(_xlfn._xlws.SORT(_xlfn.UNIQUE(_xlfn._xlws.FILTER(_xlfn.VSTACK(Table3[[Conduit ]],Table3[Conduit Branch]),_xlfn.VSTACK(Table3[[Conduit ]],Table3[Conduit Branch])&lt;&gt;""))),ROWS($M$27:M32)),"")</f>
        <v>FROM CUSTOMER - LCP-1</v>
      </c>
      <c r="N32" s="44" cm="1">
        <f t="array" ref="N32">IF($M32="","",_xlfn.LET(_xlpm.item,$M32,_xlpm.qty,IF(Table3[Cable Qty]="",1,Table3[Cable Qty]),SUMPRODUCT(--(((Table3[[Conduit ]]=_xlpm.item)+(Table3[Conduit Branch]=_xlpm.item))&gt;0),_xlpm.qty)))</f>
        <v>3</v>
      </c>
      <c r="O32" s="45" cm="1">
        <f t="array" ref="O32">IF($M32="","",_xlfn.LET(_xlpm.item,$M32,_xlpm.diameters,_xlfn.XLOOKUP(Table3[Cable Designation]&amp;"",Table6[Designation]&amp;"",Table6[Nom Diameter],0),_xlpm.qty,IFERROR(Table3[Cable Qty],1),SUMPRODUCT(((Table3[[Conduit ]]=_xlpm.item)+(Table3[Conduit Branch]=_xlpm.item))*_xlpm.qty*PI()*(_xlpm.diameters/2)^2)))</f>
        <v>7.8868898170208354E-2</v>
      </c>
      <c r="P32" s="41" t="str" cm="1">
        <f t="array" ref="P32">IF($M32="","",_xlfn.LET(_xlpm.area,$O32,_xlpm.cnt,$N32,_xlpm.sizes,'Conduit Tables'!$C$4:$C$16,_xlpm.cap,IF(_xlpm.cnt=1,'Conduit Tables'!$I$4:$I$16,IF(_xlpm.cnt=2,'Conduit Tables'!$K$4:$K$16,'Conduit Tables'!$E$4:$E$16)),_xlfn.XLOOKUP(TRUE,IF(ISNUMBER(_xlpm.cap),_xlpm.cap&gt;=_xlpm.area,FALSE),_xlpm.sizes,"No size")))</f>
        <v>½</v>
      </c>
      <c r="Q32" s="41" t="str" cm="1">
        <f t="array" ref="Q32">IF($M32="","",_xlfn.LET(_xlpm.area,$O32,_xlpm.cnt,$N32,_xlpm.sizes,'Conduit Tables'!$C$20:$C$26,_xlpm.cap,IF(_xlpm.cnt=1,'Conduit Tables'!$I$20:$I$26,IF(_xlpm.cnt=2,'Conduit Tables'!$K$20:$K$26,'Conduit Tables'!$E$20:$E$26)),_xlfn.XLOOKUP(TRUE,IF(ISNUMBER(_xlpm.cap),_xlpm.cap&gt;=_xlpm.area,FALSE),_xlpm.sizes,"No size")))</f>
        <v>1/2</v>
      </c>
      <c r="R32" s="41" t="str" cm="1">
        <f t="array" ref="R32">IF($M32="","",_xlfn.LET(_xlpm.area,$O32,_xlpm.cnt,$N32,_xlpm.sizes,'Conduit Tables'!$C$30:$C$38,_xlpm.cap,IF(_xlpm.cnt=1,'Conduit Tables'!$I$30:$I$38,IF(_xlpm.cnt=2,'Conduit Tables'!$K$30:$K$38,'Conduit Tables'!$E$30:$E$38)),_xlfn.XLOOKUP(TRUE,IF(ISNUMBER(_xlpm.cap),_xlpm.cap&gt;=_xlpm.area,FALSE),_xlpm.sizes,"No size")))</f>
        <v>3/8</v>
      </c>
      <c r="S32" s="50"/>
      <c r="U32" s="53"/>
      <c r="V32" s="53"/>
      <c r="W32" s="53"/>
    </row>
    <row r="33" spans="1:23">
      <c r="A33" t="s">
        <v>273</v>
      </c>
      <c r="E33" t="s">
        <v>217</v>
      </c>
      <c r="F33" t="s">
        <v>257</v>
      </c>
      <c r="G33" t="s">
        <v>193</v>
      </c>
      <c r="H33" t="s">
        <v>343</v>
      </c>
      <c r="I33">
        <v>1</v>
      </c>
      <c r="J33" t="s">
        <v>243</v>
      </c>
      <c r="K33" t="s">
        <v>330</v>
      </c>
      <c r="M33" s="43" t="str" cm="1">
        <f t="array" ref="M33">IFERROR(INDEX(_xlfn._xlws.SORT(_xlfn.UNIQUE(_xlfn._xlws.FILTER(_xlfn.VSTACK(Table3[[Conduit ]],Table3[Conduit Branch]),_xlfn.VSTACK(Table3[[Conduit ]],Table3[Conduit Branch])&lt;&gt;""))),ROWS($M$27:M33)),"")</f>
        <v>G1</v>
      </c>
      <c r="N33" s="44" cm="1">
        <f t="array" ref="N33">IF($M33="","",_xlfn.LET(_xlpm.item,$M33,_xlpm.qty,IF(Table3[Cable Qty]="",1,Table3[Cable Qty]),SUMPRODUCT(--(((Table3[[Conduit ]]=_xlpm.item)+(Table3[Conduit Branch]=_xlpm.item))&gt;0),_xlpm.qty)))</f>
        <v>1</v>
      </c>
      <c r="O33" s="45" cm="1">
        <f t="array" ref="O33">IF($M33="","",_xlfn.LET(_xlpm.item,$M33,_xlpm.diameters,_xlfn.XLOOKUP(Table3[Cable Designation]&amp;"",Table6[Designation]&amp;"",Table6[Nom Diameter],0),_xlpm.qty,IFERROR(Table3[Cable Qty],1),SUMPRODUCT(((Table3[[Conduit ]]=_xlpm.item)+(Table3[Conduit Branch]=_xlpm.item))*_xlpm.qty*PI()*(_xlpm.diameters/2)^2)))</f>
        <v>8.2957681008855477E-2</v>
      </c>
      <c r="P33" s="41" t="str" cm="1">
        <f t="array" ref="P33">IF($M33="","",_xlfn.LET(_xlpm.area,$O33,_xlpm.cnt,$N33,_xlpm.sizes,'Conduit Tables'!$C$4:$C$16,_xlpm.cap,IF(_xlpm.cnt=1,'Conduit Tables'!$I$4:$I$16,IF(_xlpm.cnt=2,'Conduit Tables'!$K$4:$K$16,'Conduit Tables'!$E$4:$E$16)),_xlfn.XLOOKUP(TRUE,IF(ISNUMBER(_xlpm.cap),_xlpm.cap&gt;=_xlpm.area,FALSE),_xlpm.sizes,"No size")))</f>
        <v>½</v>
      </c>
      <c r="Q33" s="41" t="str" cm="1">
        <f t="array" ref="Q33">IF($M33="","",_xlfn.LET(_xlpm.area,$O33,_xlpm.cnt,$N33,_xlpm.sizes,'Conduit Tables'!$C$20:$C$26,_xlpm.cap,IF(_xlpm.cnt=1,'Conduit Tables'!$I$20:$I$26,IF(_xlpm.cnt=2,'Conduit Tables'!$K$20:$K$26,'Conduit Tables'!$E$20:$E$26)),_xlfn.XLOOKUP(TRUE,IF(ISNUMBER(_xlpm.cap),_xlpm.cap&gt;=_xlpm.area,FALSE),_xlpm.sizes,"No size")))</f>
        <v>3/8</v>
      </c>
      <c r="R33" s="41" t="str" cm="1">
        <f t="array" ref="R33">IF($M33="","",_xlfn.LET(_xlpm.area,$O33,_xlpm.cnt,$N33,_xlpm.sizes,'Conduit Tables'!$C$30:$C$38,_xlpm.cap,IF(_xlpm.cnt=1,'Conduit Tables'!$I$30:$I$38,IF(_xlpm.cnt=2,'Conduit Tables'!$K$30:$K$38,'Conduit Tables'!$E$30:$E$38)),_xlfn.XLOOKUP(TRUE,IF(ISNUMBER(_xlpm.cap),_xlpm.cap&gt;=_xlpm.area,FALSE),_xlpm.sizes,"No size")))</f>
        <v>3/8</v>
      </c>
      <c r="S33" s="50" t="s">
        <v>125</v>
      </c>
      <c r="U33" s="54"/>
      <c r="V33" s="53"/>
      <c r="W33" s="53"/>
    </row>
    <row r="34" spans="1:23">
      <c r="A34" t="s">
        <v>274</v>
      </c>
      <c r="E34" t="s">
        <v>217</v>
      </c>
      <c r="F34" t="s">
        <v>257</v>
      </c>
      <c r="G34" t="s">
        <v>193</v>
      </c>
      <c r="H34" t="s">
        <v>343</v>
      </c>
      <c r="I34">
        <v>1</v>
      </c>
      <c r="J34" t="s">
        <v>243</v>
      </c>
      <c r="K34" t="s">
        <v>329</v>
      </c>
      <c r="M34" s="43" t="str" cm="1">
        <f t="array" ref="M34">IFERROR(INDEX(_xlfn._xlws.SORT(_xlfn.UNIQUE(_xlfn._xlws.FILTER(_xlfn.VSTACK(Table3[[Conduit ]],Table3[Conduit Branch]),_xlfn.VSTACK(Table3[[Conduit ]],Table3[Conduit Branch])&lt;&gt;""))),ROWS($M$27:M34)),"")</f>
        <v>G2</v>
      </c>
      <c r="N34" s="44" cm="1">
        <f t="array" ref="N34">IF($M34="","",_xlfn.LET(_xlpm.item,$M34,_xlpm.qty,IF(Table3[Cable Qty]="",1,Table3[Cable Qty]),SUMPRODUCT(--(((Table3[[Conduit ]]=_xlpm.item)+(Table3[Conduit Branch]=_xlpm.item))&gt;0),_xlpm.qty)))</f>
        <v>3</v>
      </c>
      <c r="O34" s="45" cm="1">
        <f t="array" ref="O34">IF($M34="","",_xlfn.LET(_xlpm.item,$M34,_xlpm.diameters,_xlfn.XLOOKUP(Table3[Cable Designation]&amp;"",Table6[Designation]&amp;"",Table6[Nom Diameter],0),_xlpm.qty,IFERROR(Table3[Cable Qty],1),SUMPRODUCT(((Table3[[Conduit ]]=_xlpm.item)+(Table3[Conduit Branch]=_xlpm.item))*_xlpm.qty*PI()*(_xlpm.diameters/2)^2)))</f>
        <v>0.2123426036506243</v>
      </c>
      <c r="P34" s="41" t="str" cm="1">
        <f t="array" ref="P34">IF($M34="","",_xlfn.LET(_xlpm.area,$O34,_xlpm.cnt,$N34,_xlpm.sizes,'Conduit Tables'!$C$4:$C$16,_xlpm.cap,IF(_xlpm.cnt=1,'Conduit Tables'!$I$4:$I$16,IF(_xlpm.cnt=2,'Conduit Tables'!$K$4:$K$16,'Conduit Tables'!$E$4:$E$16)),_xlfn.XLOOKUP(TRUE,IF(ISNUMBER(_xlpm.cap),_xlpm.cap&gt;=_xlpm.area,FALSE),_xlpm.sizes,"No size")))</f>
        <v>¾</v>
      </c>
      <c r="Q34" s="41" t="str" cm="1">
        <f t="array" ref="Q34">IF($M34="","",_xlfn.LET(_xlpm.area,$O34,_xlpm.cnt,$N34,_xlpm.sizes,'Conduit Tables'!$C$20:$C$26,_xlpm.cap,IF(_xlpm.cnt=1,'Conduit Tables'!$I$20:$I$26,IF(_xlpm.cnt=2,'Conduit Tables'!$K$20:$K$26,'Conduit Tables'!$E$20:$E$26)),_xlfn.XLOOKUP(TRUE,IF(ISNUMBER(_xlpm.cap),_xlpm.cap&gt;=_xlpm.area,FALSE),_xlpm.sizes,"No size")))</f>
        <v>3/4</v>
      </c>
      <c r="R34" s="41" t="str" cm="1">
        <f t="array" ref="R34">IF($M34="","",_xlfn.LET(_xlpm.area,$O34,_xlpm.cnt,$N34,_xlpm.sizes,'Conduit Tables'!$C$30:$C$38,_xlpm.cap,IF(_xlpm.cnt=1,'Conduit Tables'!$I$30:$I$38,IF(_xlpm.cnt=2,'Conduit Tables'!$K$30:$K$38,'Conduit Tables'!$E$30:$E$38)),_xlfn.XLOOKUP(TRUE,IF(ISNUMBER(_xlpm.cap),_xlpm.cap&gt;=_xlpm.area,FALSE),_xlpm.sizes,"No size")))</f>
        <v>1/2</v>
      </c>
      <c r="S34" s="50" t="s">
        <v>125</v>
      </c>
      <c r="U34" s="54"/>
      <c r="V34" s="53"/>
      <c r="W34" s="53"/>
    </row>
    <row r="35" spans="1:23">
      <c r="A35" t="s">
        <v>282</v>
      </c>
      <c r="E35" t="s">
        <v>217</v>
      </c>
      <c r="F35" t="s">
        <v>257</v>
      </c>
      <c r="G35" t="s">
        <v>193</v>
      </c>
      <c r="H35" t="s">
        <v>343</v>
      </c>
      <c r="I35">
        <v>1</v>
      </c>
      <c r="J35" t="s">
        <v>243</v>
      </c>
      <c r="K35" t="s">
        <v>331</v>
      </c>
      <c r="M35" s="43" t="str" cm="1">
        <f t="array" ref="M35">IFERROR(INDEX(_xlfn._xlws.SORT(_xlfn.UNIQUE(_xlfn._xlws.FILTER(_xlfn.VSTACK(Table3[[Conduit ]],Table3[Conduit Branch]),_xlfn.VSTACK(Table3[[Conduit ]],Table3[Conduit Branch])&lt;&gt;""))),ROWS($M$27:M35)),"")</f>
        <v>GREEN</v>
      </c>
      <c r="N35" s="44" cm="1">
        <f t="array" ref="N35">IF($M35="","",_xlfn.LET(_xlpm.item,$M35,_xlpm.qty,IF(Table3[Cable Qty]="",1,Table3[Cable Qty]),SUMPRODUCT(--(((Table3[[Conduit ]]=_xlpm.item)+(Table3[Conduit Branch]=_xlpm.item))&gt;0),_xlpm.qty)))</f>
        <v>4</v>
      </c>
      <c r="O35" s="45" cm="1">
        <f t="array" ref="O35">IF($M35="","",_xlfn.LET(_xlpm.item,$M35,_xlpm.diameters,_xlfn.XLOOKUP(Table3[Cable Designation]&amp;"",Table6[Designation]&amp;"",Table6[Nom Diameter],0),_xlpm.qty,IFERROR(Table3[Cable Qty],1),SUMPRODUCT(((Table3[[Conduit ]]=_xlpm.item)+(Table3[Conduit Branch]=_xlpm.item))*_xlpm.qty*PI()*(_xlpm.diameters/2)^2)))</f>
        <v>0.29530028465947977</v>
      </c>
      <c r="P35" s="41" cm="1">
        <f t="array" ref="P35">IF($M35="","",_xlfn.LET(_xlpm.area,$O35,_xlpm.cnt,$N35,_xlpm.sizes,'Conduit Tables'!$C$4:$C$16,_xlpm.cap,IF(_xlpm.cnt=1,'Conduit Tables'!$I$4:$I$16,IF(_xlpm.cnt=2,'Conduit Tables'!$K$4:$K$16,'Conduit Tables'!$E$4:$E$16)),_xlfn.XLOOKUP(TRUE,IF(ISNUMBER(_xlpm.cap),_xlpm.cap&gt;=_xlpm.area,FALSE),_xlpm.sizes,"No size")))</f>
        <v>1</v>
      </c>
      <c r="Q35" s="41" t="str" cm="1">
        <f t="array" ref="Q35">IF($M35="","",_xlfn.LET(_xlpm.area,$O35,_xlpm.cnt,$N35,_xlpm.sizes,'Conduit Tables'!$C$20:$C$26,_xlpm.cap,IF(_xlpm.cnt=1,'Conduit Tables'!$I$20:$I$26,IF(_xlpm.cnt=2,'Conduit Tables'!$K$20:$K$26,'Conduit Tables'!$E$20:$E$26)),_xlfn.XLOOKUP(TRUE,IF(ISNUMBER(_xlpm.cap),_xlpm.cap&gt;=_xlpm.area,FALSE),_xlpm.sizes,"No size")))</f>
        <v>1</v>
      </c>
      <c r="R35" s="41" t="str" cm="1">
        <f t="array" ref="R35">IF($M35="","",_xlfn.LET(_xlpm.area,$O35,_xlpm.cnt,$N35,_xlpm.sizes,'Conduit Tables'!$C$30:$C$38,_xlpm.cap,IF(_xlpm.cnt=1,'Conduit Tables'!$I$30:$I$38,IF(_xlpm.cnt=2,'Conduit Tables'!$K$30:$K$38,'Conduit Tables'!$E$30:$E$38)),_xlfn.XLOOKUP(TRUE,IF(ISNUMBER(_xlpm.cap),_xlpm.cap&gt;=_xlpm.area,FALSE),_xlpm.sizes,"No size")))</f>
        <v>1/2</v>
      </c>
      <c r="S35" s="50" t="s">
        <v>126</v>
      </c>
      <c r="U35" s="53"/>
      <c r="V35" s="53"/>
      <c r="W35" s="53"/>
    </row>
    <row r="36" spans="1:23">
      <c r="A36" t="s">
        <v>284</v>
      </c>
      <c r="E36" t="s">
        <v>217</v>
      </c>
      <c r="F36" t="s">
        <v>257</v>
      </c>
      <c r="G36" t="s">
        <v>193</v>
      </c>
      <c r="H36" t="s">
        <v>343</v>
      </c>
      <c r="I36">
        <v>1</v>
      </c>
      <c r="J36" t="s">
        <v>243</v>
      </c>
      <c r="K36" t="s">
        <v>333</v>
      </c>
      <c r="M36" s="43" t="str" cm="1">
        <f t="array" ref="M36">IFERROR(INDEX(_xlfn._xlws.SORT(_xlfn.UNIQUE(_xlfn._xlws.FILTER(_xlfn.VSTACK(Table3[[Conduit ]],Table3[Conduit Branch]),_xlfn.VSTACK(Table3[[Conduit ]],Table3[Conduit Branch])&lt;&gt;""))),ROWS($M$27:M36)),"")</f>
        <v>R1</v>
      </c>
      <c r="N36" s="44" cm="1">
        <f t="array" ref="N36">IF($M36="","",_xlfn.LET(_xlpm.item,$M36,_xlpm.qty,IF(Table3[Cable Qty]="",1,Table3[Cable Qty]),SUMPRODUCT(--(((Table3[[Conduit ]]=_xlpm.item)+(Table3[Conduit Branch]=_xlpm.item))&gt;0),_xlpm.qty)))</f>
        <v>9</v>
      </c>
      <c r="O36" s="45" cm="1">
        <f t="array" ref="O36">IF($M36="","",_xlfn.LET(_xlpm.item,$M36,_xlpm.diameters,_xlfn.XLOOKUP(Table3[Cable Designation]&amp;"",Table6[Designation]&amp;"",Table6[Nom Diameter],0),_xlpm.qty,IFERROR(Table3[Cable Qty],1),SUMPRODUCT(((Table3[[Conduit ]]=_xlpm.item)+(Table3[Conduit Branch]=_xlpm.item))*_xlpm.qty*PI()*(_xlpm.diameters/2)^2)))</f>
        <v>0.72835390939172817</v>
      </c>
      <c r="P36" s="41" t="str" cm="1">
        <f t="array" ref="P36">IF($M36="","",_xlfn.LET(_xlpm.area,$O36,_xlpm.cnt,$N36,_xlpm.sizes,'Conduit Tables'!$C$4:$C$16,_xlpm.cap,IF(_xlpm.cnt=1,'Conduit Tables'!$I$4:$I$16,IF(_xlpm.cnt=2,'Conduit Tables'!$K$4:$K$16,'Conduit Tables'!$E$4:$E$16)),_xlfn.XLOOKUP(TRUE,IF(ISNUMBER(_xlpm.cap),_xlpm.cap&gt;=_xlpm.area,FALSE),_xlpm.sizes,"No size")))</f>
        <v>1½</v>
      </c>
      <c r="Q36" s="41" t="str" cm="1">
        <f t="array" ref="Q36">IF($M36="","",_xlfn.LET(_xlpm.area,$O36,_xlpm.cnt,$N36,_xlpm.sizes,'Conduit Tables'!$C$20:$C$26,_xlpm.cap,IF(_xlpm.cnt=1,'Conduit Tables'!$I$20:$I$26,IF(_xlpm.cnt=2,'Conduit Tables'!$K$20:$K$26,'Conduit Tables'!$E$20:$E$26)),_xlfn.XLOOKUP(TRUE,IF(ISNUMBER(_xlpm.cap),_xlpm.cap&gt;=_xlpm.area,FALSE),_xlpm.sizes,"No size")))</f>
        <v>1 1/2</v>
      </c>
      <c r="R36" s="41" t="str" cm="1">
        <f t="array" ref="R36">IF($M36="","",_xlfn.LET(_xlpm.area,$O36,_xlpm.cnt,$N36,_xlpm.sizes,'Conduit Tables'!$C$30:$C$38,_xlpm.cap,IF(_xlpm.cnt=1,'Conduit Tables'!$I$30:$I$38,IF(_xlpm.cnt=2,'Conduit Tables'!$K$30:$K$38,'Conduit Tables'!$E$30:$E$38)),_xlfn.XLOOKUP(TRUE,IF(ISNUMBER(_xlpm.cap),_xlpm.cap&gt;=_xlpm.area,FALSE),_xlpm.sizes,"No size")))</f>
        <v>1</v>
      </c>
      <c r="S36" s="50" t="s">
        <v>128</v>
      </c>
      <c r="U36" s="53"/>
      <c r="V36" s="53"/>
      <c r="W36" s="53"/>
    </row>
    <row r="37" spans="1:23">
      <c r="A37" t="s">
        <v>285</v>
      </c>
      <c r="E37" t="s">
        <v>217</v>
      </c>
      <c r="F37" t="s">
        <v>257</v>
      </c>
      <c r="G37" t="s">
        <v>193</v>
      </c>
      <c r="H37" t="s">
        <v>343</v>
      </c>
      <c r="I37">
        <v>1</v>
      </c>
      <c r="J37" t="s">
        <v>243</v>
      </c>
      <c r="K37" t="s">
        <v>333</v>
      </c>
      <c r="M37" s="43" t="str" cm="1">
        <f t="array" ref="M37">IFERROR(INDEX(_xlfn._xlws.SORT(_xlfn.UNIQUE(_xlfn._xlws.FILTER(_xlfn.VSTACK(Table3[[Conduit ]],Table3[Conduit Branch]),_xlfn.VSTACK(Table3[[Conduit ]],Table3[Conduit Branch])&lt;&gt;""))),ROWS($M$27:M37)),"")</f>
        <v>R2</v>
      </c>
      <c r="N37" s="44" cm="1">
        <f t="array" ref="N37">IF($M37="","",_xlfn.LET(_xlpm.item,$M37,_xlpm.qty,IF(Table3[Cable Qty]="",1,Table3[Cable Qty]),SUMPRODUCT(--(((Table3[[Conduit ]]=_xlpm.item)+(Table3[Conduit Branch]=_xlpm.item))&gt;0),_xlpm.qty)))</f>
        <v>3</v>
      </c>
      <c r="O37" s="45" cm="1">
        <f t="array" ref="O37">IF($M37="","",_xlfn.LET(_xlpm.item,$M37,_xlpm.diameters,_xlfn.XLOOKUP(Table3[Cable Designation]&amp;"",Table6[Designation]&amp;"",Table6[Nom Diameter],0),_xlpm.qty,IFERROR(Table3[Cable Qty],1),SUMPRODUCT(((Table3[[Conduit ]]=_xlpm.item)+(Table3[Conduit Branch]=_xlpm.item))*_xlpm.qty*PI()*(_xlpm.diameters/2)^2)))</f>
        <v>7.8868898170208354E-2</v>
      </c>
      <c r="P37" s="41" t="str" cm="1">
        <f t="array" ref="P37">IF($M37="","",_xlfn.LET(_xlpm.area,$O37,_xlpm.cnt,$N37,_xlpm.sizes,'Conduit Tables'!$C$4:$C$16,_xlpm.cap,IF(_xlpm.cnt=1,'Conduit Tables'!$I$4:$I$16,IF(_xlpm.cnt=2,'Conduit Tables'!$K$4:$K$16,'Conduit Tables'!$E$4:$E$16)),_xlfn.XLOOKUP(TRUE,IF(ISNUMBER(_xlpm.cap),_xlpm.cap&gt;=_xlpm.area,FALSE),_xlpm.sizes,"No size")))</f>
        <v>½</v>
      </c>
      <c r="Q37" s="41" t="str" cm="1">
        <f t="array" ref="Q37">IF($M37="","",_xlfn.LET(_xlpm.area,$O37,_xlpm.cnt,$N37,_xlpm.sizes,'Conduit Tables'!$C$20:$C$26,_xlpm.cap,IF(_xlpm.cnt=1,'Conduit Tables'!$I$20:$I$26,IF(_xlpm.cnt=2,'Conduit Tables'!$K$20:$K$26,'Conduit Tables'!$E$20:$E$26)),_xlfn.XLOOKUP(TRUE,IF(ISNUMBER(_xlpm.cap),_xlpm.cap&gt;=_xlpm.area,FALSE),_xlpm.sizes,"No size")))</f>
        <v>1/2</v>
      </c>
      <c r="R37" s="41" t="str" cm="1">
        <f t="array" ref="R37">IF($M37="","",_xlfn.LET(_xlpm.area,$O37,_xlpm.cnt,$N37,_xlpm.sizes,'Conduit Tables'!$C$30:$C$38,_xlpm.cap,IF(_xlpm.cnt=1,'Conduit Tables'!$I$30:$I$38,IF(_xlpm.cnt=2,'Conduit Tables'!$K$30:$K$38,'Conduit Tables'!$E$30:$E$38)),_xlfn.XLOOKUP(TRUE,IF(ISNUMBER(_xlpm.cap),_xlpm.cap&gt;=_xlpm.area,FALSE),_xlpm.sizes,"No size")))</f>
        <v>3/8</v>
      </c>
      <c r="S37" s="50" t="s">
        <v>125</v>
      </c>
      <c r="U37" s="52"/>
      <c r="V37" s="53"/>
      <c r="W37" s="53"/>
    </row>
    <row r="38" spans="1:23">
      <c r="A38" t="s">
        <v>286</v>
      </c>
      <c r="E38" t="s">
        <v>217</v>
      </c>
      <c r="F38" t="s">
        <v>257</v>
      </c>
      <c r="G38" t="s">
        <v>193</v>
      </c>
      <c r="H38" t="s">
        <v>343</v>
      </c>
      <c r="I38">
        <v>1</v>
      </c>
      <c r="J38" t="s">
        <v>243</v>
      </c>
      <c r="K38" t="s">
        <v>331</v>
      </c>
      <c r="M38" s="43" t="str" cm="1">
        <f t="array" ref="M38">IFERROR(INDEX(_xlfn._xlws.SORT(_xlfn.UNIQUE(_xlfn._xlws.FILTER(_xlfn.VSTACK(Table3[[Conduit ]],Table3[Conduit Branch]),_xlfn.VSTACK(Table3[[Conduit ]],Table3[Conduit Branch])&lt;&gt;""))),ROWS($M$27:M38)),"")</f>
        <v>R3</v>
      </c>
      <c r="N38" s="44" cm="1">
        <f t="array" ref="N38">IF($M38="","",_xlfn.LET(_xlpm.item,$M38,_xlpm.qty,IF(Table3[Cable Qty]="",1,Table3[Cable Qty]),SUMPRODUCT(--(((Table3[[Conduit ]]=_xlpm.item)+(Table3[Conduit Branch]=_xlpm.item))&gt;0),_xlpm.qty)))</f>
        <v>17</v>
      </c>
      <c r="O38" s="45" cm="1">
        <f t="array" ref="O38">IF($M38="","",_xlfn.LET(_xlpm.item,$M38,_xlpm.diameters,_xlfn.XLOOKUP(Table3[Cable Designation]&amp;"",Table6[Designation]&amp;"",Table6[Nom Diameter],0),_xlpm.qty,IFERROR(Table3[Cable Qty],1),SUMPRODUCT(((Table3[[Conduit ]]=_xlpm.item)+(Table3[Conduit Branch]=_xlpm.item))*_xlpm.qty*PI()*(_xlpm.diameters/2)^2)))</f>
        <v>0.40852092770036569</v>
      </c>
      <c r="P38" s="41" t="str" cm="1">
        <f t="array" ref="P38">IF($M38="","",_xlfn.LET(_xlpm.area,$O38,_xlpm.cnt,$N38,_xlpm.sizes,'Conduit Tables'!$C$4:$C$16,_xlpm.cap,IF(_xlpm.cnt=1,'Conduit Tables'!$I$4:$I$16,IF(_xlpm.cnt=2,'Conduit Tables'!$K$4:$K$16,'Conduit Tables'!$E$4:$E$16)),_xlfn.XLOOKUP(TRUE,IF(ISNUMBER(_xlpm.cap),_xlpm.cap&gt;=_xlpm.area,FALSE),_xlpm.sizes,"No size")))</f>
        <v>1¼</v>
      </c>
      <c r="Q38" s="41" t="str" cm="1">
        <f t="array" ref="Q38">IF($M38="","",_xlfn.LET(_xlpm.area,$O38,_xlpm.cnt,$N38,_xlpm.sizes,'Conduit Tables'!$C$20:$C$26,_xlpm.cap,IF(_xlpm.cnt=1,'Conduit Tables'!$I$20:$I$26,IF(_xlpm.cnt=2,'Conduit Tables'!$K$20:$K$26,'Conduit Tables'!$E$20:$E$26)),_xlfn.XLOOKUP(TRUE,IF(ISNUMBER(_xlpm.cap),_xlpm.cap&gt;=_xlpm.area,FALSE),_xlpm.sizes,"No size")))</f>
        <v>1 1/4</v>
      </c>
      <c r="R38" s="41" t="str" cm="1">
        <f t="array" ref="R38">IF($M38="","",_xlfn.LET(_xlpm.area,$O38,_xlpm.cnt,$N38,_xlpm.sizes,'Conduit Tables'!$C$30:$C$38,_xlpm.cap,IF(_xlpm.cnt=1,'Conduit Tables'!$I$30:$I$38,IF(_xlpm.cnt=2,'Conduit Tables'!$K$30:$K$38,'Conduit Tables'!$E$30:$E$38)),_xlfn.XLOOKUP(TRUE,IF(ISNUMBER(_xlpm.cap),_xlpm.cap&gt;=_xlpm.area,FALSE),_xlpm.sizes,"No size")))</f>
        <v>3/4</v>
      </c>
      <c r="S38" s="50" t="s">
        <v>127</v>
      </c>
      <c r="U38" s="52"/>
      <c r="V38" s="53"/>
      <c r="W38" s="53"/>
    </row>
    <row r="39" spans="1:23">
      <c r="A39" t="s">
        <v>289</v>
      </c>
      <c r="E39" t="s">
        <v>217</v>
      </c>
      <c r="F39" t="s">
        <v>257</v>
      </c>
      <c r="G39" t="s">
        <v>195</v>
      </c>
      <c r="H39" t="s">
        <v>344</v>
      </c>
      <c r="I39">
        <v>1</v>
      </c>
      <c r="J39" t="s">
        <v>243</v>
      </c>
      <c r="K39" t="s">
        <v>329</v>
      </c>
      <c r="M39" s="43" t="str" cm="1">
        <f t="array" ref="M39">IFERROR(INDEX(_xlfn._xlws.SORT(_xlfn.UNIQUE(_xlfn._xlws.FILTER(_xlfn.VSTACK(Table3[[Conduit ]],Table3[Conduit Branch]),_xlfn.VSTACK(Table3[[Conduit ]],Table3[Conduit Branch])&lt;&gt;""))),ROWS($M$27:M39)),"")</f>
        <v>R4</v>
      </c>
      <c r="N39" s="44" cm="1">
        <f t="array" ref="N39">IF($M39="","",_xlfn.LET(_xlpm.item,$M39,_xlpm.qty,IF(Table3[Cable Qty]="",1,Table3[Cable Qty]),SUMPRODUCT(--(((Table3[[Conduit ]]=_xlpm.item)+(Table3[Conduit Branch]=_xlpm.item))&gt;0),_xlpm.qty)))</f>
        <v>6</v>
      </c>
      <c r="O39" s="45" cm="1">
        <f t="array" ref="O39">IF($M39="","",_xlfn.LET(_xlpm.item,$M39,_xlpm.diameters,_xlfn.XLOOKUP(Table3[Cable Designation]&amp;"",Table6[Designation]&amp;"",Table6[Nom Diameter],0),_xlpm.qty,IFERROR(Table3[Cable Qty],1),SUMPRODUCT(((Table3[[Conduit ]]=_xlpm.item)+(Table3[Conduit Branch]=_xlpm.item))*_xlpm.qty*PI()*(_xlpm.diameters/2)^2)))</f>
        <v>4.2529310547971821E-2</v>
      </c>
      <c r="P39" s="41" t="str" cm="1">
        <f t="array" ref="P39">IF($M39="","",_xlfn.LET(_xlpm.area,$O39,_xlpm.cnt,$N39,_xlpm.sizes,'Conduit Tables'!$C$4:$C$16,_xlpm.cap,IF(_xlpm.cnt=1,'Conduit Tables'!$I$4:$I$16,IF(_xlpm.cnt=2,'Conduit Tables'!$K$4:$K$16,'Conduit Tables'!$E$4:$E$16)),_xlfn.XLOOKUP(TRUE,IF(ISNUMBER(_xlpm.cap),_xlpm.cap&gt;=_xlpm.area,FALSE),_xlpm.sizes,"No size")))</f>
        <v>½</v>
      </c>
      <c r="Q39" s="41" t="str" cm="1">
        <f t="array" ref="Q39">IF($M39="","",_xlfn.LET(_xlpm.area,$O39,_xlpm.cnt,$N39,_xlpm.sizes,'Conduit Tables'!$C$20:$C$26,_xlpm.cap,IF(_xlpm.cnt=1,'Conduit Tables'!$I$20:$I$26,IF(_xlpm.cnt=2,'Conduit Tables'!$K$20:$K$26,'Conduit Tables'!$E$20:$E$26)),_xlfn.XLOOKUP(TRUE,IF(ISNUMBER(_xlpm.cap),_xlpm.cap&gt;=_xlpm.area,FALSE),_xlpm.sizes,"No size")))</f>
        <v>3/8</v>
      </c>
      <c r="R39" s="41" t="str" cm="1">
        <f t="array" ref="R39">IF($M39="","",_xlfn.LET(_xlpm.area,$O39,_xlpm.cnt,$N39,_xlpm.sizes,'Conduit Tables'!$C$30:$C$38,_xlpm.cap,IF(_xlpm.cnt=1,'Conduit Tables'!$I$30:$I$38,IF(_xlpm.cnt=2,'Conduit Tables'!$K$30:$K$38,'Conduit Tables'!$E$30:$E$38)),_xlfn.XLOOKUP(TRUE,IF(ISNUMBER(_xlpm.cap),_xlpm.cap&gt;=_xlpm.area,FALSE),_xlpm.sizes,"No size")))</f>
        <v>3/8</v>
      </c>
      <c r="S39" s="50" t="s">
        <v>125</v>
      </c>
      <c r="U39" s="53"/>
      <c r="V39" s="53"/>
      <c r="W39" s="53"/>
    </row>
    <row r="40" spans="1:23">
      <c r="A40" t="s">
        <v>290</v>
      </c>
      <c r="E40" t="s">
        <v>217</v>
      </c>
      <c r="F40" t="s">
        <v>257</v>
      </c>
      <c r="G40" t="s">
        <v>195</v>
      </c>
      <c r="H40" t="s">
        <v>344</v>
      </c>
      <c r="I40">
        <v>1</v>
      </c>
      <c r="J40" t="s">
        <v>243</v>
      </c>
      <c r="K40" t="s">
        <v>329</v>
      </c>
      <c r="M40" s="43" t="str" cm="1">
        <f t="array" ref="M40">IFERROR(INDEX(_xlfn._xlws.SORT(_xlfn.UNIQUE(_xlfn._xlws.FILTER(_xlfn.VSTACK(Table3[[Conduit ]],Table3[Conduit Branch]),_xlfn.VSTACK(Table3[[Conduit ]],Table3[Conduit Branch])&lt;&gt;""))),ROWS($M$27:M40)),"")</f>
        <v>R5</v>
      </c>
      <c r="N40" s="44" cm="1">
        <f t="array" ref="N40">IF($M40="","",_xlfn.LET(_xlpm.item,$M40,_xlpm.qty,IF(Table3[Cable Qty]="",1,Table3[Cable Qty]),SUMPRODUCT(--(((Table3[[Conduit ]]=_xlpm.item)+(Table3[Conduit Branch]=_xlpm.item))&gt;0),_xlpm.qty)))</f>
        <v>2</v>
      </c>
      <c r="O40" s="45" cm="1">
        <f t="array" ref="O40">IF($M40="","",_xlfn.LET(_xlpm.item,$M40,_xlpm.diameters,_xlfn.XLOOKUP(Table3[Cable Designation]&amp;"",Table6[Designation]&amp;"",Table6[Nom Diameter],0),_xlpm.qty,IFERROR(Table3[Cable Qty],1),SUMPRODUCT(((Table3[[Conduit ]]=_xlpm.item)+(Table3[Conduit Branch]=_xlpm.item))*_xlpm.qty*PI()*(_xlpm.diameters/2)^2)))</f>
        <v>0.12938492264176882</v>
      </c>
      <c r="P40" s="41" t="str" cm="1">
        <f t="array" ref="P40">IF($M40="","",_xlfn.LET(_xlpm.area,$O40,_xlpm.cnt,$N40,_xlpm.sizes,'Conduit Tables'!$C$4:$C$16,_xlpm.cap,IF(_xlpm.cnt=1,'Conduit Tables'!$I$4:$I$16,IF(_xlpm.cnt=2,'Conduit Tables'!$K$4:$K$16,'Conduit Tables'!$E$4:$E$16)),_xlfn.XLOOKUP(TRUE,IF(ISNUMBER(_xlpm.cap),_xlpm.cap&gt;=_xlpm.area,FALSE),_xlpm.sizes,"No size")))</f>
        <v>¾</v>
      </c>
      <c r="Q40" s="41" t="str" cm="1">
        <f t="array" ref="Q40">IF($M40="","",_xlfn.LET(_xlpm.area,$O40,_xlpm.cnt,$N40,_xlpm.sizes,'Conduit Tables'!$C$20:$C$26,_xlpm.cap,IF(_xlpm.cnt=1,'Conduit Tables'!$I$20:$I$26,IF(_xlpm.cnt=2,'Conduit Tables'!$K$20:$K$26,'Conduit Tables'!$E$20:$E$26)),_xlfn.XLOOKUP(TRUE,IF(ISNUMBER(_xlpm.cap),_xlpm.cap&gt;=_xlpm.area,FALSE),_xlpm.sizes,"No size")))</f>
        <v>3/4</v>
      </c>
      <c r="R40" s="41" t="str" cm="1">
        <f t="array" ref="R40">IF($M40="","",_xlfn.LET(_xlpm.area,$O40,_xlpm.cnt,$N40,_xlpm.sizes,'Conduit Tables'!$C$30:$C$38,_xlpm.cap,IF(_xlpm.cnt=1,'Conduit Tables'!$I$30:$I$38,IF(_xlpm.cnt=2,'Conduit Tables'!$K$30:$K$38,'Conduit Tables'!$E$30:$E$38)),_xlfn.XLOOKUP(TRUE,IF(ISNUMBER(_xlpm.cap),_xlpm.cap&gt;=_xlpm.area,FALSE),_xlpm.sizes,"No size")))</f>
        <v>3/8</v>
      </c>
      <c r="S40" s="50" t="s">
        <v>125</v>
      </c>
      <c r="U40" s="52"/>
      <c r="V40" s="53"/>
      <c r="W40" s="53"/>
    </row>
    <row r="41" spans="1:23">
      <c r="A41" t="s">
        <v>291</v>
      </c>
      <c r="E41" t="s">
        <v>217</v>
      </c>
      <c r="F41" t="s">
        <v>257</v>
      </c>
      <c r="G41" t="s">
        <v>195</v>
      </c>
      <c r="H41" t="s">
        <v>344</v>
      </c>
      <c r="I41">
        <v>1</v>
      </c>
      <c r="J41" t="s">
        <v>243</v>
      </c>
      <c r="K41" t="s">
        <v>329</v>
      </c>
      <c r="M41" s="43" t="str" cm="1">
        <f t="array" ref="M41">IFERROR(INDEX(_xlfn._xlws.SORT(_xlfn.UNIQUE(_xlfn._xlws.FILTER(_xlfn.VSTACK(Table3[[Conduit ]],Table3[Conduit Branch]),_xlfn.VSTACK(Table3[[Conduit ]],Table3[Conduit Branch])&lt;&gt;""))),ROWS($M$27:M41)),"")</f>
        <v>RED</v>
      </c>
      <c r="N41" s="44" cm="1">
        <f t="array" ref="N41">IF($M41="","",_xlfn.LET(_xlpm.item,$M41,_xlpm.qty,IF(Table3[Cable Qty]="",1,Table3[Cable Qty]),SUMPRODUCT(--(((Table3[[Conduit ]]=_xlpm.item)+(Table3[Conduit Branch]=_xlpm.item))&gt;0),_xlpm.qty)))</f>
        <v>36</v>
      </c>
      <c r="O41" s="45" cm="1">
        <f t="array" ref="O41">IF($M41="","",_xlfn.LET(_xlpm.item,$M41,_xlpm.diameters,_xlfn.XLOOKUP(Table3[Cable Designation]&amp;"",Table6[Designation]&amp;"",Table6[Nom Diameter],0),_xlpm.qty,IFERROR(Table3[Cable Qty],1),SUMPRODUCT(((Table3[[Conduit ]]=_xlpm.item)+(Table3[Conduit Branch]=_xlpm.item))*_xlpm.qty*PI()*(_xlpm.diameters/2)^2)))</f>
        <v>1.3229655071311583</v>
      </c>
      <c r="P41" s="41" cm="1">
        <f t="array" ref="P41">IF($M41="","",_xlfn.LET(_xlpm.area,$O41,_xlpm.cnt,$N41,_xlpm.sizes,'Conduit Tables'!$C$4:$C$16,_xlpm.cap,IF(_xlpm.cnt=1,'Conduit Tables'!$I$4:$I$16,IF(_xlpm.cnt=2,'Conduit Tables'!$K$4:$K$16,'Conduit Tables'!$E$4:$E$16)),_xlfn.XLOOKUP(TRUE,IF(ISNUMBER(_xlpm.cap),_xlpm.cap&gt;=_xlpm.area,FALSE),_xlpm.sizes,"No size")))</f>
        <v>2</v>
      </c>
      <c r="Q41" s="41" t="str" cm="1">
        <f t="array" ref="Q41">IF($M41="","",_xlfn.LET(_xlpm.area,$O41,_xlpm.cnt,$N41,_xlpm.sizes,'Conduit Tables'!$C$20:$C$26,_xlpm.cap,IF(_xlpm.cnt=1,'Conduit Tables'!$I$20:$I$26,IF(_xlpm.cnt=2,'Conduit Tables'!$K$20:$K$26,'Conduit Tables'!$E$20:$E$26)),_xlfn.XLOOKUP(TRUE,IF(ISNUMBER(_xlpm.cap),_xlpm.cap&gt;=_xlpm.area,FALSE),_xlpm.sizes,"No size")))</f>
        <v>2</v>
      </c>
      <c r="R41" s="41" t="str" cm="1">
        <f t="array" ref="R41">IF($M41="","",_xlfn.LET(_xlpm.area,$O41,_xlpm.cnt,$N41,_xlpm.sizes,'Conduit Tables'!$C$30:$C$38,_xlpm.cap,IF(_xlpm.cnt=1,'Conduit Tables'!$I$30:$I$38,IF(_xlpm.cnt=2,'Conduit Tables'!$K$30:$K$38,'Conduit Tables'!$E$30:$E$38)),_xlfn.XLOOKUP(TRUE,IF(ISNUMBER(_xlpm.cap),_xlpm.cap&gt;=_xlpm.area,FALSE),_xlpm.sizes,"No size")))</f>
        <v>1 1/2</v>
      </c>
      <c r="S41" s="50" t="s">
        <v>129</v>
      </c>
      <c r="U41" s="52"/>
      <c r="V41" s="53"/>
      <c r="W41" s="53"/>
    </row>
    <row r="42" spans="1:23">
      <c r="A42" t="s">
        <v>292</v>
      </c>
      <c r="E42" t="s">
        <v>217</v>
      </c>
      <c r="F42" t="s">
        <v>257</v>
      </c>
      <c r="G42" t="s">
        <v>195</v>
      </c>
      <c r="H42" t="s">
        <v>344</v>
      </c>
      <c r="I42">
        <v>1</v>
      </c>
      <c r="J42" t="s">
        <v>243</v>
      </c>
      <c r="K42" t="s">
        <v>329</v>
      </c>
      <c r="M42" s="43" t="str" cm="1">
        <f t="array" ref="M42">IFERROR(INDEX(_xlfn._xlws.SORT(_xlfn.UNIQUE(_xlfn._xlws.FILTER(_xlfn.VSTACK(Table3[[Conduit ]],Table3[Conduit Branch]),_xlfn.VSTACK(Table3[[Conduit ]],Table3[Conduit Branch])&lt;&gt;""))),ROWS($M$27:M42)),"")</f>
        <v>Y1</v>
      </c>
      <c r="N42" s="44" cm="1">
        <f t="array" ref="N42">IF($M42="","",_xlfn.LET(_xlpm.item,$M42,_xlpm.qty,IF(Table3[Cable Qty]="",1,Table3[Cable Qty]),SUMPRODUCT(--(((Table3[[Conduit ]]=_xlpm.item)+(Table3[Conduit Branch]=_xlpm.item))&gt;0),_xlpm.qty)))</f>
        <v>1</v>
      </c>
      <c r="O42" s="45" cm="1">
        <f t="array" ref="O42">IF($M42="","",_xlfn.LET(_xlpm.item,$M42,_xlpm.diameters,_xlfn.XLOOKUP(Table3[Cable Designation]&amp;"",Table6[Designation]&amp;"",Table6[Nom Diameter],0),_xlpm.qty,IFERROR(Table3[Cable Qty],1),SUMPRODUCT(((Table3[[Conduit ]]=_xlpm.item)+(Table3[Conduit Branch]=_xlpm.item))*_xlpm.qty*PI()*(_xlpm.diameters/2)^2)))</f>
        <v>6.4692461320884409E-2</v>
      </c>
      <c r="P42" s="41" t="str" cm="1">
        <f t="array" ref="P42">IF($M42="","",_xlfn.LET(_xlpm.area,$O42,_xlpm.cnt,$N42,_xlpm.sizes,'Conduit Tables'!$C$4:$C$16,_xlpm.cap,IF(_xlpm.cnt=1,'Conduit Tables'!$I$4:$I$16,IF(_xlpm.cnt=2,'Conduit Tables'!$K$4:$K$16,'Conduit Tables'!$E$4:$E$16)),_xlfn.XLOOKUP(TRUE,IF(ISNUMBER(_xlpm.cap),_xlpm.cap&gt;=_xlpm.area,FALSE),_xlpm.sizes,"No size")))</f>
        <v>½</v>
      </c>
      <c r="Q42" s="41" t="str" cm="1">
        <f t="array" ref="Q42">IF($M42="","",_xlfn.LET(_xlpm.area,$O42,_xlpm.cnt,$N42,_xlpm.sizes,'Conduit Tables'!$C$20:$C$26,_xlpm.cap,IF(_xlpm.cnt=1,'Conduit Tables'!$I$20:$I$26,IF(_xlpm.cnt=2,'Conduit Tables'!$K$20:$K$26,'Conduit Tables'!$E$20:$E$26)),_xlfn.XLOOKUP(TRUE,IF(ISNUMBER(_xlpm.cap),_xlpm.cap&gt;=_xlpm.area,FALSE),_xlpm.sizes,"No size")))</f>
        <v>3/8</v>
      </c>
      <c r="R42" s="41" t="str" cm="1">
        <f t="array" ref="R42">IF($M42="","",_xlfn.LET(_xlpm.area,$O42,_xlpm.cnt,$N42,_xlpm.sizes,'Conduit Tables'!$C$30:$C$38,_xlpm.cap,IF(_xlpm.cnt=1,'Conduit Tables'!$I$30:$I$38,IF(_xlpm.cnt=2,'Conduit Tables'!$K$30:$K$38,'Conduit Tables'!$E$30:$E$38)),_xlfn.XLOOKUP(TRUE,IF(ISNUMBER(_xlpm.cap),_xlpm.cap&gt;=_xlpm.area,FALSE),_xlpm.sizes,"No size")))</f>
        <v>3/8</v>
      </c>
      <c r="S42" s="50" t="s">
        <v>125</v>
      </c>
      <c r="U42" s="54"/>
      <c r="V42" s="53"/>
      <c r="W42" s="53"/>
    </row>
    <row r="43" spans="1:23">
      <c r="A43" t="s">
        <v>293</v>
      </c>
      <c r="E43" t="s">
        <v>217</v>
      </c>
      <c r="F43" t="s">
        <v>257</v>
      </c>
      <c r="G43" t="s">
        <v>195</v>
      </c>
      <c r="H43" t="s">
        <v>344</v>
      </c>
      <c r="I43">
        <v>1</v>
      </c>
      <c r="J43" t="s">
        <v>243</v>
      </c>
      <c r="K43" t="s">
        <v>329</v>
      </c>
      <c r="M43" s="43" t="str" cm="1">
        <f t="array" ref="M43">IFERROR(INDEX(_xlfn._xlws.SORT(_xlfn.UNIQUE(_xlfn._xlws.FILTER(_xlfn.VSTACK(Table3[[Conduit ]],Table3[Conduit Branch]),_xlfn.VSTACK(Table3[[Conduit ]],Table3[Conduit Branch])&lt;&gt;""))),ROWS($M$27:M43)),"")</f>
        <v>Y2</v>
      </c>
      <c r="N43" s="44" cm="1">
        <f t="array" ref="N43">IF($M43="","",_xlfn.LET(_xlpm.item,$M43,_xlpm.qty,IF(Table3[Cable Qty]="",1,Table3[Cable Qty]),SUMPRODUCT(--(((Table3[[Conduit ]]=_xlpm.item)+(Table3[Conduit Branch]=_xlpm.item))&gt;0),_xlpm.qty)))</f>
        <v>2</v>
      </c>
      <c r="O43" s="45" cm="1">
        <f t="array" ref="O43">IF($M43="","",_xlfn.LET(_xlpm.item,$M43,_xlpm.diameters,_xlfn.XLOOKUP(Table3[Cable Designation]&amp;"",Table6[Designation]&amp;"",Table6[Nom Diameter],0),_xlpm.qty,IFERROR(Table3[Cable Qty],1),SUMPRODUCT(((Table3[[Conduit ]]=_xlpm.item)+(Table3[Conduit Branch]=_xlpm.item))*_xlpm.qty*PI()*(_xlpm.diameters/2)^2)))</f>
        <v>0.12938492264176882</v>
      </c>
      <c r="P43" s="41" t="str" cm="1">
        <f t="array" ref="P43">IF($M43="","",_xlfn.LET(_xlpm.area,$O43,_xlpm.cnt,$N43,_xlpm.sizes,'Conduit Tables'!$C$4:$C$16,_xlpm.cap,IF(_xlpm.cnt=1,'Conduit Tables'!$I$4:$I$16,IF(_xlpm.cnt=2,'Conduit Tables'!$K$4:$K$16,'Conduit Tables'!$E$4:$E$16)),_xlfn.XLOOKUP(TRUE,IF(ISNUMBER(_xlpm.cap),_xlpm.cap&gt;=_xlpm.area,FALSE),_xlpm.sizes,"No size")))</f>
        <v>¾</v>
      </c>
      <c r="Q43" s="41" t="str" cm="1">
        <f t="array" ref="Q43">IF($M43="","",_xlfn.LET(_xlpm.area,$O43,_xlpm.cnt,$N43,_xlpm.sizes,'Conduit Tables'!$C$20:$C$26,_xlpm.cap,IF(_xlpm.cnt=1,'Conduit Tables'!$I$20:$I$26,IF(_xlpm.cnt=2,'Conduit Tables'!$K$20:$K$26,'Conduit Tables'!$E$20:$E$26)),_xlfn.XLOOKUP(TRUE,IF(ISNUMBER(_xlpm.cap),_xlpm.cap&gt;=_xlpm.area,FALSE),_xlpm.sizes,"No size")))</f>
        <v>3/4</v>
      </c>
      <c r="R43" s="41" t="str" cm="1">
        <f t="array" ref="R43">IF($M43="","",_xlfn.LET(_xlpm.area,$O43,_xlpm.cnt,$N43,_xlpm.sizes,'Conduit Tables'!$C$30:$C$38,_xlpm.cap,IF(_xlpm.cnt=1,'Conduit Tables'!$I$30:$I$38,IF(_xlpm.cnt=2,'Conduit Tables'!$K$30:$K$38,'Conduit Tables'!$E$30:$E$38)),_xlfn.XLOOKUP(TRUE,IF(ISNUMBER(_xlpm.cap),_xlpm.cap&gt;=_xlpm.area,FALSE),_xlpm.sizes,"No size")))</f>
        <v>3/8</v>
      </c>
      <c r="S43" s="50" t="s">
        <v>125</v>
      </c>
      <c r="U43" s="52"/>
      <c r="V43" s="53"/>
      <c r="W43" s="53"/>
    </row>
    <row r="44" spans="1:23">
      <c r="A44" t="s">
        <v>294</v>
      </c>
      <c r="E44" t="s">
        <v>217</v>
      </c>
      <c r="F44" t="s">
        <v>257</v>
      </c>
      <c r="G44" t="s">
        <v>195</v>
      </c>
      <c r="H44" t="s">
        <v>344</v>
      </c>
      <c r="I44">
        <v>1</v>
      </c>
      <c r="J44" t="s">
        <v>243</v>
      </c>
      <c r="K44" t="s">
        <v>329</v>
      </c>
      <c r="M44" s="43" t="str" cm="1">
        <f t="array" ref="M44">IFERROR(INDEX(_xlfn._xlws.SORT(_xlfn.UNIQUE(_xlfn._xlws.FILTER(_xlfn.VSTACK(Table3[[Conduit ]],Table3[Conduit Branch]),_xlfn.VSTACK(Table3[[Conduit ]],Table3[Conduit Branch])&lt;&gt;""))),ROWS($M$27:M44)),"")</f>
        <v>Y3</v>
      </c>
      <c r="N44" s="44" cm="1">
        <f t="array" ref="N44">IF($M44="","",_xlfn.LET(_xlpm.item,$M44,_xlpm.qty,IF(Table3[Cable Qty]="",1,Table3[Cable Qty]),SUMPRODUCT(--(((Table3[[Conduit ]]=_xlpm.item)+(Table3[Conduit Branch]=_xlpm.item))&gt;0),_xlpm.qty)))</f>
        <v>16</v>
      </c>
      <c r="O44" s="45" cm="1">
        <f t="array" ref="O44">IF($M44="","",_xlfn.LET(_xlpm.item,$M44,_xlpm.diameters,_xlfn.XLOOKUP(Table3[Cable Designation]&amp;"",Table6[Designation]&amp;"",Table6[Nom Diameter],0),_xlpm.qty,IFERROR(Table3[Cable Qty],1),SUMPRODUCT(((Table3[[Conduit ]]=_xlpm.item)+(Table3[Conduit Branch]=_xlpm.item))*_xlpm.qty*PI()*(_xlpm.diameters/2)^2)))</f>
        <v>0.11341149479459155</v>
      </c>
      <c r="P44" s="41" t="str" cm="1">
        <f t="array" ref="P44">IF($M44="","",_xlfn.LET(_xlpm.area,$O44,_xlpm.cnt,$N44,_xlpm.sizes,'Conduit Tables'!$C$4:$C$16,_xlpm.cap,IF(_xlpm.cnt=1,'Conduit Tables'!$I$4:$I$16,IF(_xlpm.cnt=2,'Conduit Tables'!$K$4:$K$16,'Conduit Tables'!$E$4:$E$16)),_xlfn.XLOOKUP(TRUE,IF(ISNUMBER(_xlpm.cap),_xlpm.cap&gt;=_xlpm.area,FALSE),_xlpm.sizes,"No size")))</f>
        <v>½</v>
      </c>
      <c r="Q44" s="41" t="str" cm="1">
        <f t="array" ref="Q44">IF($M44="","",_xlfn.LET(_xlpm.area,$O44,_xlpm.cnt,$N44,_xlpm.sizes,'Conduit Tables'!$C$20:$C$26,_xlpm.cap,IF(_xlpm.cnt=1,'Conduit Tables'!$I$20:$I$26,IF(_xlpm.cnt=2,'Conduit Tables'!$K$20:$K$26,'Conduit Tables'!$E$20:$E$26)),_xlfn.XLOOKUP(TRUE,IF(ISNUMBER(_xlpm.cap),_xlpm.cap&gt;=_xlpm.area,FALSE),_xlpm.sizes,"No size")))</f>
        <v>1/2</v>
      </c>
      <c r="R44" s="41" t="str" cm="1">
        <f t="array" ref="R44">IF($M44="","",_xlfn.LET(_xlpm.area,$O44,_xlpm.cnt,$N44,_xlpm.sizes,'Conduit Tables'!$C$30:$C$38,_xlpm.cap,IF(_xlpm.cnt=1,'Conduit Tables'!$I$30:$I$38,IF(_xlpm.cnt=2,'Conduit Tables'!$K$30:$K$38,'Conduit Tables'!$E$30:$E$38)),_xlfn.XLOOKUP(TRUE,IF(ISNUMBER(_xlpm.cap),_xlpm.cap&gt;=_xlpm.area,FALSE),_xlpm.sizes,"No size")))</f>
        <v>3/8</v>
      </c>
      <c r="S44" s="50" t="s">
        <v>125</v>
      </c>
      <c r="U44" s="52"/>
      <c r="V44" s="53"/>
      <c r="W44" s="53"/>
    </row>
    <row r="45" spans="1:23">
      <c r="A45" t="s">
        <v>295</v>
      </c>
      <c r="E45" t="s">
        <v>217</v>
      </c>
      <c r="F45" t="s">
        <v>257</v>
      </c>
      <c r="G45" t="s">
        <v>195</v>
      </c>
      <c r="H45" t="s">
        <v>344</v>
      </c>
      <c r="I45">
        <v>1</v>
      </c>
      <c r="J45" t="s">
        <v>243</v>
      </c>
      <c r="K45" t="s">
        <v>329</v>
      </c>
      <c r="M45" s="43" t="str" cm="1">
        <f t="array" ref="M45">IFERROR(INDEX(_xlfn._xlws.SORT(_xlfn.UNIQUE(_xlfn._xlws.FILTER(_xlfn.VSTACK(Table3[[Conduit ]],Table3[Conduit Branch]),_xlfn.VSTACK(Table3[[Conduit ]],Table3[Conduit Branch])&lt;&gt;""))),ROWS($M$27:M45)),"")</f>
        <v>Y4</v>
      </c>
      <c r="N45" s="44" cm="1">
        <f t="array" ref="N45">IF($M45="","",_xlfn.LET(_xlpm.item,$M45,_xlpm.qty,IF(Table3[Cable Qty]="",1,Table3[Cable Qty]),SUMPRODUCT(--(((Table3[[Conduit ]]=_xlpm.item)+(Table3[Conduit Branch]=_xlpm.item))&gt;0),_xlpm.qty)))</f>
        <v>17</v>
      </c>
      <c r="O45" s="45" cm="1">
        <f t="array" ref="O45">IF($M45="","",_xlfn.LET(_xlpm.item,$M45,_xlpm.diameters,_xlfn.XLOOKUP(Table3[Cable Designation]&amp;"",Table6[Designation]&amp;"",Table6[Nom Diameter],0),_xlpm.qty,IFERROR(Table3[Cable Qty],1),SUMPRODUCT(((Table3[[Conduit ]]=_xlpm.item)+(Table3[Conduit Branch]=_xlpm.item))*_xlpm.qty*PI()*(_xlpm.diameters/2)^2)))</f>
        <v>0.40852092770036569</v>
      </c>
      <c r="P45" s="41" t="str" cm="1">
        <f t="array" ref="P45">IF($M45="","",_xlfn.LET(_xlpm.area,$O45,_xlpm.cnt,$N45,_xlpm.sizes,'Conduit Tables'!$C$4:$C$16,_xlpm.cap,IF(_xlpm.cnt=1,'Conduit Tables'!$I$4:$I$16,IF(_xlpm.cnt=2,'Conduit Tables'!$K$4:$K$16,'Conduit Tables'!$E$4:$E$16)),_xlfn.XLOOKUP(TRUE,IF(ISNUMBER(_xlpm.cap),_xlpm.cap&gt;=_xlpm.area,FALSE),_xlpm.sizes,"No size")))</f>
        <v>1¼</v>
      </c>
      <c r="Q45" s="41" t="str" cm="1">
        <f t="array" ref="Q45">IF($M45="","",_xlfn.LET(_xlpm.area,$O45,_xlpm.cnt,$N45,_xlpm.sizes,'Conduit Tables'!$C$20:$C$26,_xlpm.cap,IF(_xlpm.cnt=1,'Conduit Tables'!$I$20:$I$26,IF(_xlpm.cnt=2,'Conduit Tables'!$K$20:$K$26,'Conduit Tables'!$E$20:$E$26)),_xlfn.XLOOKUP(TRUE,IF(ISNUMBER(_xlpm.cap),_xlpm.cap&gt;=_xlpm.area,FALSE),_xlpm.sizes,"No size")))</f>
        <v>1 1/4</v>
      </c>
      <c r="R45" s="41" t="str" cm="1">
        <f t="array" ref="R45">IF($M45="","",_xlfn.LET(_xlpm.area,$O45,_xlpm.cnt,$N45,_xlpm.sizes,'Conduit Tables'!$C$30:$C$38,_xlpm.cap,IF(_xlpm.cnt=1,'Conduit Tables'!$I$30:$I$38,IF(_xlpm.cnt=2,'Conduit Tables'!$K$30:$K$38,'Conduit Tables'!$E$30:$E$38)),_xlfn.XLOOKUP(TRUE,IF(ISNUMBER(_xlpm.cap),_xlpm.cap&gt;=_xlpm.area,FALSE),_xlpm.sizes,"No size")))</f>
        <v>3/4</v>
      </c>
      <c r="S45" s="50" t="s">
        <v>127</v>
      </c>
    </row>
    <row r="46" spans="1:23">
      <c r="A46" t="s">
        <v>338</v>
      </c>
      <c r="E46" t="s">
        <v>217</v>
      </c>
      <c r="F46" t="s">
        <v>257</v>
      </c>
      <c r="G46" t="s">
        <v>195</v>
      </c>
      <c r="H46" t="s">
        <v>344</v>
      </c>
      <c r="I46">
        <v>1</v>
      </c>
      <c r="J46" t="s">
        <v>243</v>
      </c>
      <c r="K46" t="s">
        <v>329</v>
      </c>
      <c r="M46" s="43" t="str" cm="1">
        <f t="array" ref="M46">IFERROR(INDEX(_xlfn._xlws.SORT(_xlfn.UNIQUE(_xlfn._xlws.FILTER(_xlfn.VSTACK(Table3[[Conduit ]],Table3[Conduit Branch]),_xlfn.VSTACK(Table3[[Conduit ]],Table3[Conduit Branch])&lt;&gt;""))),ROWS($M$27:M46)),"")</f>
        <v>Y5</v>
      </c>
      <c r="N46" s="44" cm="1">
        <f t="array" ref="N46">IF($M46="","",_xlfn.LET(_xlpm.item,$M46,_xlpm.qty,IF(Table3[Cable Qty]="",1,Table3[Cable Qty]),SUMPRODUCT(--(((Table3[[Conduit ]]=_xlpm.item)+(Table3[Conduit Branch]=_xlpm.item))&gt;0),_xlpm.qty)))</f>
        <v>9</v>
      </c>
      <c r="O46" s="45" cm="1">
        <f t="array" ref="O46">IF($M46="","",_xlfn.LET(_xlpm.item,$M46,_xlpm.diameters,_xlfn.XLOOKUP(Table3[Cable Designation]&amp;"",Table6[Designation]&amp;"",Table6[Nom Diameter],0),_xlpm.qty,IFERROR(Table3[Cable Qty],1),SUMPRODUCT(((Table3[[Conduit ]]=_xlpm.item)+(Table3[Conduit Branch]=_xlpm.item))*_xlpm.qty*PI()*(_xlpm.diameters/2)^2)))</f>
        <v>0.12139820871818018</v>
      </c>
      <c r="P46" s="41" t="str" cm="1">
        <f t="array" ref="P46">IF($M46="","",_xlfn.LET(_xlpm.area,$O46,_xlpm.cnt,$N46,_xlpm.sizes,'Conduit Tables'!$C$4:$C$16,_xlpm.cap,IF(_xlpm.cnt=1,'Conduit Tables'!$I$4:$I$16,IF(_xlpm.cnt=2,'Conduit Tables'!$K$4:$K$16,'Conduit Tables'!$E$4:$E$16)),_xlfn.XLOOKUP(TRUE,IF(ISNUMBER(_xlpm.cap),_xlpm.cap&gt;=_xlpm.area,FALSE),_xlpm.sizes,"No size")))</f>
        <v>½</v>
      </c>
      <c r="Q46" s="41" t="str" cm="1">
        <f t="array" ref="Q46">IF($M46="","",_xlfn.LET(_xlpm.area,$O46,_xlpm.cnt,$N46,_xlpm.sizes,'Conduit Tables'!$C$20:$C$26,_xlpm.cap,IF(_xlpm.cnt=1,'Conduit Tables'!$I$20:$I$26,IF(_xlpm.cnt=2,'Conduit Tables'!$K$20:$K$26,'Conduit Tables'!$E$20:$E$26)),_xlfn.XLOOKUP(TRUE,IF(ISNUMBER(_xlpm.cap),_xlpm.cap&gt;=_xlpm.area,FALSE),_xlpm.sizes,"No size")))</f>
        <v>1/2</v>
      </c>
      <c r="R46" s="41" t="str" cm="1">
        <f t="array" ref="R46">IF($M46="","",_xlfn.LET(_xlpm.area,$O46,_xlpm.cnt,$N46,_xlpm.sizes,'Conduit Tables'!$C$30:$C$38,_xlpm.cap,IF(_xlpm.cnt=1,'Conduit Tables'!$I$30:$I$38,IF(_xlpm.cnt=2,'Conduit Tables'!$K$30:$K$38,'Conduit Tables'!$E$30:$E$38)),_xlfn.XLOOKUP(TRUE,IF(ISNUMBER(_xlpm.cap),_xlpm.cap&gt;=_xlpm.area,FALSE),_xlpm.sizes,"No size")))</f>
        <v>3/8</v>
      </c>
      <c r="S46" s="50" t="s">
        <v>125</v>
      </c>
    </row>
    <row r="47" spans="1:23">
      <c r="A47" t="s">
        <v>213</v>
      </c>
      <c r="E47" t="s">
        <v>217</v>
      </c>
      <c r="F47" t="s">
        <v>218</v>
      </c>
      <c r="G47" t="s">
        <v>242</v>
      </c>
      <c r="H47" t="s">
        <v>339</v>
      </c>
      <c r="I47">
        <v>2</v>
      </c>
      <c r="J47" t="s">
        <v>244</v>
      </c>
      <c r="K47" t="s">
        <v>324</v>
      </c>
      <c r="M47" s="43" t="str" cm="1">
        <f t="array" ref="M47">IFERROR(INDEX(_xlfn._xlws.SORT(_xlfn.UNIQUE(_xlfn._xlws.FILTER(_xlfn.VSTACK(Table3[[Conduit ]],Table3[Conduit Branch]),_xlfn.VSTACK(Table3[[Conduit ]],Table3[Conduit Branch])&lt;&gt;""))),ROWS($M$27:M47)),"")</f>
        <v>Y6</v>
      </c>
      <c r="N47" s="44" cm="1">
        <f t="array" ref="N47">IF($M47="","",_xlfn.LET(_xlpm.item,$M47,_xlpm.qty,IF(Table3[Cable Qty]="",1,Table3[Cable Qty]),SUMPRODUCT(--(((Table3[[Conduit ]]=_xlpm.item)+(Table3[Conduit Branch]=_xlpm.item))&gt;0),_xlpm.qty)))</f>
        <v>7</v>
      </c>
      <c r="O47" s="45" cm="1">
        <f t="array" ref="O47">IF($M47="","",_xlfn.LET(_xlpm.item,$M47,_xlpm.diameters,_xlfn.XLOOKUP(Table3[Cable Designation]&amp;"",Table6[Designation]&amp;"",Table6[Nom Diameter],0),_xlpm.qty,IFERROR(Table3[Cable Qty],1),SUMPRODUCT(((Table3[[Conduit ]]=_xlpm.item)+(Table3[Conduit Branch]=_xlpm.item))*_xlpm.qty*PI()*(_xlpm.diameters/2)^2)))</f>
        <v>0.10722177186885623</v>
      </c>
      <c r="P47" s="41" t="str" cm="1">
        <f t="array" ref="P47">IF($M47="","",_xlfn.LET(_xlpm.area,$O47,_xlpm.cnt,$N47,_xlpm.sizes,'Conduit Tables'!$C$4:$C$16,_xlpm.cap,IF(_xlpm.cnt=1,'Conduit Tables'!$I$4:$I$16,IF(_xlpm.cnt=2,'Conduit Tables'!$K$4:$K$16,'Conduit Tables'!$E$4:$E$16)),_xlfn.XLOOKUP(TRUE,IF(ISNUMBER(_xlpm.cap),_xlpm.cap&gt;=_xlpm.area,FALSE),_xlpm.sizes,"No size")))</f>
        <v>½</v>
      </c>
      <c r="Q47" s="41" t="str" cm="1">
        <f t="array" ref="Q47">IF($M47="","",_xlfn.LET(_xlpm.area,$O47,_xlpm.cnt,$N47,_xlpm.sizes,'Conduit Tables'!$C$20:$C$26,_xlpm.cap,IF(_xlpm.cnt=1,'Conduit Tables'!$I$20:$I$26,IF(_xlpm.cnt=2,'Conduit Tables'!$K$20:$K$26,'Conduit Tables'!$E$20:$E$26)),_xlfn.XLOOKUP(TRUE,IF(ISNUMBER(_xlpm.cap),_xlpm.cap&gt;=_xlpm.area,FALSE),_xlpm.sizes,"No size")))</f>
        <v>1/2</v>
      </c>
      <c r="R47" s="41" t="str" cm="1">
        <f t="array" ref="R47">IF($M47="","",_xlfn.LET(_xlpm.area,$O47,_xlpm.cnt,$N47,_xlpm.sizes,'Conduit Tables'!$C$30:$C$38,_xlpm.cap,IF(_xlpm.cnt=1,'Conduit Tables'!$I$30:$I$38,IF(_xlpm.cnt=2,'Conduit Tables'!$K$30:$K$38,'Conduit Tables'!$E$30:$E$38)),_xlfn.XLOOKUP(TRUE,IF(ISNUMBER(_xlpm.cap),_xlpm.cap&gt;=_xlpm.area,FALSE),_xlpm.sizes,"No size")))</f>
        <v>3/8</v>
      </c>
      <c r="S47" s="50" t="s">
        <v>125</v>
      </c>
    </row>
    <row r="48" spans="1:23">
      <c r="A48" t="s">
        <v>214</v>
      </c>
      <c r="E48" t="s">
        <v>217</v>
      </c>
      <c r="F48" t="s">
        <v>218</v>
      </c>
      <c r="G48" t="s">
        <v>242</v>
      </c>
      <c r="H48" t="s">
        <v>339</v>
      </c>
      <c r="I48">
        <v>2</v>
      </c>
      <c r="J48" t="s">
        <v>244</v>
      </c>
      <c r="K48" t="s">
        <v>324</v>
      </c>
      <c r="M48" s="43" t="str" cm="1">
        <f t="array" ref="M48">IFERROR(INDEX(_xlfn._xlws.SORT(_xlfn.UNIQUE(_xlfn._xlws.FILTER(_xlfn.VSTACK(Table3[[Conduit ]],Table3[Conduit Branch]),_xlfn.VSTACK(Table3[[Conduit ]],Table3[Conduit Branch])&lt;&gt;""))),ROWS($M$27:M48)),"")</f>
        <v>YELLOW</v>
      </c>
      <c r="N48" s="44" cm="1">
        <f t="array" ref="N48">IF($M48="","",_xlfn.LET(_xlpm.item,$M48,_xlpm.qty,IF(Table3[Cable Qty]="",1,Table3[Cable Qty]),SUMPRODUCT(--(((Table3[[Conduit ]]=_xlpm.item)+(Table3[Conduit Branch]=_xlpm.item))&gt;0),_xlpm.qty)))</f>
        <v>53</v>
      </c>
      <c r="O48" s="45" cm="1">
        <f t="array" ref="O48">IF($M48="","",_xlfn.LET(_xlpm.item,$M48,_xlpm.diameters,_xlfn.XLOOKUP(Table3[Cable Designation]&amp;"",Table6[Designation]&amp;"",Table6[Nom Diameter],0),_xlpm.qty,IFERROR(Table3[Cable Qty],1),SUMPRODUCT(((Table3[[Conduit ]]=_xlpm.item)+(Table3[Conduit Branch]=_xlpm.item))*_xlpm.qty*PI()*(_xlpm.diameters/2)^2)))</f>
        <v>1.0093222483655309</v>
      </c>
      <c r="P48" s="41" cm="1">
        <f t="array" ref="P48">IF($M48="","",_xlfn.LET(_xlpm.area,$O48,_xlpm.cnt,$N48,_xlpm.sizes,'Conduit Tables'!$C$4:$C$16,_xlpm.cap,IF(_xlpm.cnt=1,'Conduit Tables'!$I$4:$I$16,IF(_xlpm.cnt=2,'Conduit Tables'!$K$4:$K$16,'Conduit Tables'!$E$4:$E$16)),_xlfn.XLOOKUP(TRUE,IF(ISNUMBER(_xlpm.cap),_xlpm.cap&gt;=_xlpm.area,FALSE),_xlpm.sizes,"No size")))</f>
        <v>2</v>
      </c>
      <c r="Q48" s="41" t="str" cm="1">
        <f t="array" ref="Q48">IF($M48="","",_xlfn.LET(_xlpm.area,$O48,_xlpm.cnt,$N48,_xlpm.sizes,'Conduit Tables'!$C$20:$C$26,_xlpm.cap,IF(_xlpm.cnt=1,'Conduit Tables'!$I$20:$I$26,IF(_xlpm.cnt=2,'Conduit Tables'!$K$20:$K$26,'Conduit Tables'!$E$20:$E$26)),_xlfn.XLOOKUP(TRUE,IF(ISNUMBER(_xlpm.cap),_xlpm.cap&gt;=_xlpm.area,FALSE),_xlpm.sizes,"No size")))</f>
        <v>2</v>
      </c>
      <c r="R48" s="41" t="str" cm="1">
        <f t="array" ref="R48">IF($M48="","",_xlfn.LET(_xlpm.area,$O48,_xlpm.cnt,$N48,_xlpm.sizes,'Conduit Tables'!$C$30:$C$38,_xlpm.cap,IF(_xlpm.cnt=1,'Conduit Tables'!$I$30:$I$38,IF(_xlpm.cnt=2,'Conduit Tables'!$K$30:$K$38,'Conduit Tables'!$E$30:$E$38)),_xlfn.XLOOKUP(TRUE,IF(ISNUMBER(_xlpm.cap),_xlpm.cap&gt;=_xlpm.area,FALSE),_xlpm.sizes,"No size")))</f>
        <v>1 1/4</v>
      </c>
      <c r="S48" s="50" t="s">
        <v>129</v>
      </c>
    </row>
    <row r="49" spans="1:19">
      <c r="A49" t="s">
        <v>215</v>
      </c>
      <c r="E49" t="s">
        <v>217</v>
      </c>
      <c r="F49" t="s">
        <v>218</v>
      </c>
      <c r="G49" t="s">
        <v>242</v>
      </c>
      <c r="H49" t="s">
        <v>339</v>
      </c>
      <c r="I49">
        <v>2</v>
      </c>
      <c r="J49" t="s">
        <v>244</v>
      </c>
      <c r="K49" t="s">
        <v>324</v>
      </c>
      <c r="M49" s="43" t="str" cm="1">
        <f t="array" ref="M49">IFERROR(INDEX(_xlfn._xlws.SORT(_xlfn.UNIQUE(_xlfn._xlws.FILTER(_xlfn.VSTACK(Table3[[Conduit ]],Table3[Conduit Branch]),_xlfn.VSTACK(Table3[[Conduit ]],Table3[Conduit Branch])&lt;&gt;""))),ROWS($M$27:M49)),"")</f>
        <v/>
      </c>
      <c r="N49" s="44" t="str">
        <f>IF($M49="","",COUNTIF(Table3[[Conduit ]],$M49)+COUNTIF(Table3[Conduit Branch],$M49))</f>
        <v/>
      </c>
      <c r="O49" s="45" t="str" cm="1">
        <f t="array" ref="O49">IF($M49="","",_xlfn.LET(_xlpm.item,$M49,_xlpm.diameters,_xlfn.XLOOKUP(Table3[Cable Designation]&amp;"",Table6[Designation]&amp;"",Table6[Nom Diameter],0),SUMPRODUCT(((Table3[[Conduit ]]=_xlpm.item)+(Table3[Conduit Branch]=_xlpm.item))*PI()*(_xlpm.diameters/2)^2)))</f>
        <v/>
      </c>
      <c r="P49" s="41" t="str" cm="1">
        <f t="array" ref="P49">IF($M49="","",_xlfn.LET(_xlpm.area,$O49,_xlpm.cnt,$N49,_xlpm.sizes,'Conduit Tables'!$C$4:$C$16,_xlpm.cap,IF(_xlpm.cnt=1,'Conduit Tables'!$I$4:$I$16,IF(_xlpm.cnt=2,'Conduit Tables'!$K$4:$K$16,'Conduit Tables'!$E$4:$E$16)),_xlfn.XLOOKUP(TRUE,IF(ISNUMBER(_xlpm.cap),_xlpm.cap&gt;=_xlpm.area,FALSE),_xlpm.sizes,"No size")))</f>
        <v/>
      </c>
      <c r="Q49" s="41" t="str" cm="1">
        <f t="array" ref="Q49">IF($M49="","",_xlfn.LET(_xlpm.area,$O49,_xlpm.cnt,$N49,_xlpm.sizes,'Conduit Tables'!$C$20:$C$26,_xlpm.cap,IF(_xlpm.cnt=1,'Conduit Tables'!$I$20:$I$26,IF(_xlpm.cnt=2,'Conduit Tables'!$K$20:$K$26,'Conduit Tables'!$E$20:$E$26)),_xlfn.XLOOKUP(TRUE,IF(ISNUMBER(_xlpm.cap),_xlpm.cap&gt;=_xlpm.area,FALSE),_xlpm.sizes,"No size")))</f>
        <v/>
      </c>
      <c r="R49" s="41" t="str" cm="1">
        <f t="array" ref="R49">IF($M49="","",_xlfn.LET(_xlpm.area,$O49,_xlpm.cnt,$N49,_xlpm.sizes,'Conduit Tables'!$C$30:$C$38,_xlpm.cap,IF(_xlpm.cnt=1,'Conduit Tables'!$I$30:$I$38,IF(_xlpm.cnt=2,'Conduit Tables'!$K$30:$K$38,'Conduit Tables'!$E$30:$E$38)),_xlfn.XLOOKUP(TRUE,IF(ISNUMBER(_xlpm.cap),_xlpm.cap&gt;=_xlpm.area,FALSE),_xlpm.sizes,"No size")))</f>
        <v/>
      </c>
      <c r="S49" s="41"/>
    </row>
    <row r="50" spans="1:19">
      <c r="A50" t="s">
        <v>216</v>
      </c>
      <c r="E50" t="s">
        <v>217</v>
      </c>
      <c r="F50" t="s">
        <v>218</v>
      </c>
      <c r="G50" t="s">
        <v>242</v>
      </c>
      <c r="H50" t="s">
        <v>339</v>
      </c>
      <c r="I50">
        <v>2</v>
      </c>
      <c r="J50" t="s">
        <v>244</v>
      </c>
      <c r="K50" t="s">
        <v>324</v>
      </c>
      <c r="M50" s="43" t="str" cm="1">
        <f t="array" ref="M50">IFERROR(INDEX(_xlfn._xlws.SORT(_xlfn.UNIQUE(_xlfn._xlws.FILTER(_xlfn.VSTACK(Table3[[Conduit ]],Table3[Conduit Branch]),_xlfn.VSTACK(Table3[[Conduit ]],Table3[Conduit Branch])&lt;&gt;""))),ROWS($M$27:M50)),"")</f>
        <v/>
      </c>
      <c r="N50" s="44" t="str">
        <f>IF($M50="","",COUNTIF(Table3[[Conduit ]],$M50)+COUNTIF(Table3[Conduit Branch],$M50))</f>
        <v/>
      </c>
      <c r="O50" s="45" t="str" cm="1">
        <f t="array" ref="O50">IF($M50="","",_xlfn.LET(_xlpm.item,$M50,_xlpm.diameters,_xlfn.XLOOKUP(Table3[Cable Designation]&amp;"",Table6[Designation]&amp;"",Table6[Nom Diameter],0),SUMPRODUCT(((Table3[[Conduit ]]=_xlpm.item)+(Table3[Conduit Branch]=_xlpm.item))*PI()*(_xlpm.diameters/2)^2)))</f>
        <v/>
      </c>
      <c r="P50" s="41" t="str" cm="1">
        <f t="array" ref="P50">IF($M50="","",_xlfn.LET(_xlpm.area,$O50,_xlpm.cnt,$N50,_xlpm.sizes,'Conduit Tables'!$C$4:$C$16,_xlpm.cap,IF(_xlpm.cnt=1,'Conduit Tables'!$I$4:$I$16,IF(_xlpm.cnt=2,'Conduit Tables'!$K$4:$K$16,'Conduit Tables'!$E$4:$E$16)),_xlfn.XLOOKUP(TRUE,IF(ISNUMBER(_xlpm.cap),_xlpm.cap&gt;=_xlpm.area,FALSE),_xlpm.sizes,"No size")))</f>
        <v/>
      </c>
      <c r="Q50" s="41" t="str" cm="1">
        <f t="array" ref="Q50">IF($M50="","",_xlfn.LET(_xlpm.area,$O50,_xlpm.cnt,$N50,_xlpm.sizes,'Conduit Tables'!$C$20:$C$26,_xlpm.cap,IF(_xlpm.cnt=1,'Conduit Tables'!$I$20:$I$26,IF(_xlpm.cnt=2,'Conduit Tables'!$K$20:$K$26,'Conduit Tables'!$E$20:$E$26)),_xlfn.XLOOKUP(TRUE,IF(ISNUMBER(_xlpm.cap),_xlpm.cap&gt;=_xlpm.area,FALSE),_xlpm.sizes,"No size")))</f>
        <v/>
      </c>
      <c r="R50" s="41" t="str" cm="1">
        <f t="array" ref="R50">IF($M50="","",_xlfn.LET(_xlpm.area,$O50,_xlpm.cnt,$N50,_xlpm.sizes,'Conduit Tables'!$C$30:$C$38,_xlpm.cap,IF(_xlpm.cnt=1,'Conduit Tables'!$I$30:$I$38,IF(_xlpm.cnt=2,'Conduit Tables'!$K$30:$K$38,'Conduit Tables'!$E$30:$E$38)),_xlfn.XLOOKUP(TRUE,IF(ISNUMBER(_xlpm.cap),_xlpm.cap&gt;=_xlpm.area,FALSE),_xlpm.sizes,"No size")))</f>
        <v/>
      </c>
      <c r="S50" s="41"/>
    </row>
    <row r="51" spans="1:19">
      <c r="A51" t="s">
        <v>219</v>
      </c>
      <c r="E51" t="s">
        <v>217</v>
      </c>
      <c r="F51" t="s">
        <v>218</v>
      </c>
      <c r="G51" t="s">
        <v>242</v>
      </c>
      <c r="H51" t="s">
        <v>339</v>
      </c>
      <c r="I51">
        <v>2</v>
      </c>
      <c r="J51" t="s">
        <v>244</v>
      </c>
      <c r="K51" t="s">
        <v>324</v>
      </c>
      <c r="M51" s="43" t="str" cm="1">
        <f t="array" ref="M51">IFERROR(INDEX(_xlfn._xlws.SORT(_xlfn.UNIQUE(_xlfn._xlws.FILTER(_xlfn.VSTACK(Table3[[Conduit ]],Table3[Conduit Branch]),_xlfn.VSTACK(Table3[[Conduit ]],Table3[Conduit Branch])&lt;&gt;""))),ROWS($M$27:M51)),"")</f>
        <v/>
      </c>
      <c r="N51" s="44" t="str">
        <f>IF($M51="","",COUNTIF(Table3[[Conduit ]],$M51)+COUNTIF(Table3[Conduit Branch],$M51))</f>
        <v/>
      </c>
      <c r="O51" s="45" t="str" cm="1">
        <f t="array" ref="O51">IF($M51="","",_xlfn.LET(_xlpm.item,$M51,_xlpm.diameters,_xlfn.XLOOKUP(Table3[Cable Designation]&amp;"",Table6[Designation]&amp;"",Table6[Nom Diameter],0),SUMPRODUCT(((Table3[[Conduit ]]=_xlpm.item)+(Table3[Conduit Branch]=_xlpm.item))*PI()*(_xlpm.diameters/2)^2)))</f>
        <v/>
      </c>
      <c r="P51" s="41" t="str" cm="1">
        <f t="array" ref="P51">IF($M51="","",_xlfn.LET(_xlpm.area,$O51,_xlpm.cnt,$N51,_xlpm.sizes,'Conduit Tables'!$C$4:$C$16,_xlpm.cap,IF(_xlpm.cnt=1,'Conduit Tables'!$I$4:$I$16,IF(_xlpm.cnt=2,'Conduit Tables'!$K$4:$K$16,'Conduit Tables'!$E$4:$E$16)),_xlfn.XLOOKUP(TRUE,IF(ISNUMBER(_xlpm.cap),_xlpm.cap&gt;=_xlpm.area,FALSE),_xlpm.sizes,"No size")))</f>
        <v/>
      </c>
      <c r="Q51" s="41" t="str" cm="1">
        <f t="array" ref="Q51">IF($M51="","",_xlfn.LET(_xlpm.area,$O51,_xlpm.cnt,$N51,_xlpm.sizes,'Conduit Tables'!$C$20:$C$26,_xlpm.cap,IF(_xlpm.cnt=1,'Conduit Tables'!$I$20:$I$26,IF(_xlpm.cnt=2,'Conduit Tables'!$K$20:$K$26,'Conduit Tables'!$E$20:$E$26)),_xlfn.XLOOKUP(TRUE,IF(ISNUMBER(_xlpm.cap),_xlpm.cap&gt;=_xlpm.area,FALSE),_xlpm.sizes,"No size")))</f>
        <v/>
      </c>
      <c r="R51" s="41" t="str" cm="1">
        <f t="array" ref="R51">IF($M51="","",_xlfn.LET(_xlpm.area,$O51,_xlpm.cnt,$N51,_xlpm.sizes,'Conduit Tables'!$C$30:$C$38,_xlpm.cap,IF(_xlpm.cnt=1,'Conduit Tables'!$I$30:$I$38,IF(_xlpm.cnt=2,'Conduit Tables'!$K$30:$K$38,'Conduit Tables'!$E$30:$E$38)),_xlfn.XLOOKUP(TRUE,IF(ISNUMBER(_xlpm.cap),_xlpm.cap&gt;=_xlpm.area,FALSE),_xlpm.sizes,"No size")))</f>
        <v/>
      </c>
      <c r="S51" s="41"/>
    </row>
    <row r="52" spans="1:19">
      <c r="A52" t="s">
        <v>220</v>
      </c>
      <c r="E52" t="s">
        <v>217</v>
      </c>
      <c r="F52" t="s">
        <v>218</v>
      </c>
      <c r="G52" t="s">
        <v>242</v>
      </c>
      <c r="H52" t="s">
        <v>339</v>
      </c>
      <c r="I52">
        <v>2</v>
      </c>
      <c r="J52" t="s">
        <v>244</v>
      </c>
      <c r="K52" t="s">
        <v>324</v>
      </c>
      <c r="M52" s="43" t="str" cm="1">
        <f t="array" ref="M52">IFERROR(INDEX(_xlfn._xlws.SORT(_xlfn.UNIQUE(_xlfn._xlws.FILTER(_xlfn.VSTACK(Table3[[Conduit ]],Table3[Conduit Branch]),_xlfn.VSTACK(Table3[[Conduit ]],Table3[Conduit Branch])&lt;&gt;""))),ROWS($M$27:M52)),"")</f>
        <v/>
      </c>
      <c r="N52" s="44" t="str">
        <f>IF($M52="","",COUNTIF(Table3[[Conduit ]],$M52)+COUNTIF(Table3[Conduit Branch],$M52))</f>
        <v/>
      </c>
      <c r="O52" s="45" t="str" cm="1">
        <f t="array" ref="O52">IF($M52="","",_xlfn.LET(_xlpm.item,$M52,_xlpm.diameters,_xlfn.XLOOKUP(Table3[Cable Designation]&amp;"",Table6[Designation]&amp;"",Table6[Nom Diameter],0),SUMPRODUCT(((Table3[[Conduit ]]=_xlpm.item)+(Table3[Conduit Branch]=_xlpm.item))*PI()*(_xlpm.diameters/2)^2)))</f>
        <v/>
      </c>
      <c r="P52" s="41" t="str" cm="1">
        <f t="array" ref="P52">IF($M52="","",_xlfn.LET(_xlpm.area,$O52,_xlpm.cnt,$N52,_xlpm.sizes,'Conduit Tables'!$C$4:$C$16,_xlpm.cap,IF(_xlpm.cnt=1,'Conduit Tables'!$I$4:$I$16,IF(_xlpm.cnt=2,'Conduit Tables'!$K$4:$K$16,'Conduit Tables'!$E$4:$E$16)),_xlfn.XLOOKUP(TRUE,IF(ISNUMBER(_xlpm.cap),_xlpm.cap&gt;=_xlpm.area,FALSE),_xlpm.sizes,"No size")))</f>
        <v/>
      </c>
      <c r="Q52" s="41" t="str" cm="1">
        <f t="array" ref="Q52">IF($M52="","",_xlfn.LET(_xlpm.area,$O52,_xlpm.cnt,$N52,_xlpm.sizes,'Conduit Tables'!$C$20:$C$26,_xlpm.cap,IF(_xlpm.cnt=1,'Conduit Tables'!$I$20:$I$26,IF(_xlpm.cnt=2,'Conduit Tables'!$K$20:$K$26,'Conduit Tables'!$E$20:$E$26)),_xlfn.XLOOKUP(TRUE,IF(ISNUMBER(_xlpm.cap),_xlpm.cap&gt;=_xlpm.area,FALSE),_xlpm.sizes,"No size")))</f>
        <v/>
      </c>
      <c r="R52" s="41" t="str" cm="1">
        <f t="array" ref="R52">IF($M52="","",_xlfn.LET(_xlpm.area,$O52,_xlpm.cnt,$N52,_xlpm.sizes,'Conduit Tables'!$C$30:$C$38,_xlpm.cap,IF(_xlpm.cnt=1,'Conduit Tables'!$I$30:$I$38,IF(_xlpm.cnt=2,'Conduit Tables'!$K$30:$K$38,'Conduit Tables'!$E$30:$E$38)),_xlfn.XLOOKUP(TRUE,IF(ISNUMBER(_xlpm.cap),_xlpm.cap&gt;=_xlpm.area,FALSE),_xlpm.sizes,"No size")))</f>
        <v/>
      </c>
      <c r="S52" s="41"/>
    </row>
    <row r="53" spans="1:19">
      <c r="A53" t="s">
        <v>221</v>
      </c>
      <c r="E53" t="s">
        <v>217</v>
      </c>
      <c r="F53" t="s">
        <v>218</v>
      </c>
      <c r="G53" t="s">
        <v>242</v>
      </c>
      <c r="H53" t="s">
        <v>339</v>
      </c>
      <c r="I53">
        <v>2</v>
      </c>
      <c r="J53" t="s">
        <v>244</v>
      </c>
      <c r="K53" t="s">
        <v>324</v>
      </c>
      <c r="M53" s="43" t="str" cm="1">
        <f t="array" ref="M53">IFERROR(INDEX(_xlfn._xlws.SORT(_xlfn.UNIQUE(_xlfn._xlws.FILTER(_xlfn.VSTACK(Table3[[Conduit ]],Table3[Conduit Branch]),_xlfn.VSTACK(Table3[[Conduit ]],Table3[Conduit Branch])&lt;&gt;""))),ROWS($M$27:M53)),"")</f>
        <v/>
      </c>
      <c r="N53" s="44" t="str">
        <f>IF($M53="","",COUNTIF(Table3[[Conduit ]],$M53)+COUNTIF(Table3[Conduit Branch],$M53))</f>
        <v/>
      </c>
      <c r="O53" s="45" t="str" cm="1">
        <f t="array" ref="O53">IF($M53="","",_xlfn.LET(_xlpm.item,$M53,_xlpm.diameters,_xlfn.XLOOKUP(Table3[Cable Designation]&amp;"",Table6[Designation]&amp;"",Table6[Nom Diameter],0),SUMPRODUCT(((Table3[[Conduit ]]=_xlpm.item)+(Table3[Conduit Branch]=_xlpm.item))*PI()*(_xlpm.diameters/2)^2)))</f>
        <v/>
      </c>
      <c r="P53" s="41" t="str" cm="1">
        <f t="array" ref="P53">IF($M53="","",_xlfn.LET(_xlpm.area,$O53,_xlpm.cnt,$N53,_xlpm.sizes,'Conduit Tables'!$C$4:$C$16,_xlpm.cap,IF(_xlpm.cnt=1,'Conduit Tables'!$I$4:$I$16,IF(_xlpm.cnt=2,'Conduit Tables'!$K$4:$K$16,'Conduit Tables'!$E$4:$E$16)),_xlfn.XLOOKUP(TRUE,IF(ISNUMBER(_xlpm.cap),_xlpm.cap&gt;=_xlpm.area,FALSE),_xlpm.sizes,"No size")))</f>
        <v/>
      </c>
      <c r="Q53" s="41" t="str" cm="1">
        <f t="array" ref="Q53">IF($M53="","",_xlfn.LET(_xlpm.area,$O53,_xlpm.cnt,$N53,_xlpm.sizes,'Conduit Tables'!$C$20:$C$26,_xlpm.cap,IF(_xlpm.cnt=1,'Conduit Tables'!$I$20:$I$26,IF(_xlpm.cnt=2,'Conduit Tables'!$K$20:$K$26,'Conduit Tables'!$E$20:$E$26)),_xlfn.XLOOKUP(TRUE,IF(ISNUMBER(_xlpm.cap),_xlpm.cap&gt;=_xlpm.area,FALSE),_xlpm.sizes,"No size")))</f>
        <v/>
      </c>
      <c r="R53" s="41" t="str" cm="1">
        <f t="array" ref="R53">IF($M53="","",_xlfn.LET(_xlpm.area,$O53,_xlpm.cnt,$N53,_xlpm.sizes,'Conduit Tables'!$C$30:$C$38,_xlpm.cap,IF(_xlpm.cnt=1,'Conduit Tables'!$I$30:$I$38,IF(_xlpm.cnt=2,'Conduit Tables'!$K$30:$K$38,'Conduit Tables'!$E$30:$E$38)),_xlfn.XLOOKUP(TRUE,IF(ISNUMBER(_xlpm.cap),_xlpm.cap&gt;=_xlpm.area,FALSE),_xlpm.sizes,"No size")))</f>
        <v/>
      </c>
      <c r="S53" s="41"/>
    </row>
    <row r="54" spans="1:19">
      <c r="A54" t="s">
        <v>222</v>
      </c>
      <c r="E54" t="s">
        <v>217</v>
      </c>
      <c r="F54" t="s">
        <v>218</v>
      </c>
      <c r="G54" t="s">
        <v>242</v>
      </c>
      <c r="H54" t="s">
        <v>339</v>
      </c>
      <c r="I54">
        <v>2</v>
      </c>
      <c r="J54" t="s">
        <v>244</v>
      </c>
      <c r="K54" t="s">
        <v>324</v>
      </c>
      <c r="M54" s="43" t="str" cm="1">
        <f t="array" ref="M54">IFERROR(INDEX(_xlfn._xlws.SORT(_xlfn.UNIQUE(_xlfn._xlws.FILTER(_xlfn.VSTACK(Table3[[Conduit ]],Table3[Conduit Branch]),_xlfn.VSTACK(Table3[[Conduit ]],Table3[Conduit Branch])&lt;&gt;""))),ROWS($M$27:M54)),"")</f>
        <v/>
      </c>
      <c r="N54" s="44" t="str">
        <f>IF($M54="","",COUNTIF(Table3[[Conduit ]],$M54)+COUNTIF(Table3[Conduit Branch],$M54))</f>
        <v/>
      </c>
      <c r="O54" s="45" t="str" cm="1">
        <f t="array" ref="O54">IF($M54="","",_xlfn.LET(_xlpm.item,$M54,_xlpm.diameters,_xlfn.XLOOKUP(Table3[Cable Designation]&amp;"",Table6[Designation]&amp;"",Table6[Nom Diameter],0),SUMPRODUCT(((Table3[[Conduit ]]=_xlpm.item)+(Table3[Conduit Branch]=_xlpm.item))*PI()*(_xlpm.diameters/2)^2)))</f>
        <v/>
      </c>
      <c r="P54" s="41" t="str" cm="1">
        <f t="array" ref="P54">IF($M54="","",_xlfn.LET(_xlpm.area,$O54,_xlpm.cnt,$N54,_xlpm.sizes,'Conduit Tables'!$C$4:$C$16,_xlpm.cap,IF(_xlpm.cnt=1,'Conduit Tables'!$I$4:$I$16,IF(_xlpm.cnt=2,'Conduit Tables'!$K$4:$K$16,'Conduit Tables'!$E$4:$E$16)),_xlfn.XLOOKUP(TRUE,IF(ISNUMBER(_xlpm.cap),_xlpm.cap&gt;=_xlpm.area,FALSE),_xlpm.sizes,"No size")))</f>
        <v/>
      </c>
      <c r="Q54" s="41" t="str" cm="1">
        <f t="array" ref="Q54">IF($M54="","",_xlfn.LET(_xlpm.area,$O54,_xlpm.cnt,$N54,_xlpm.sizes,'Conduit Tables'!$C$20:$C$26,_xlpm.cap,IF(_xlpm.cnt=1,'Conduit Tables'!$I$20:$I$26,IF(_xlpm.cnt=2,'Conduit Tables'!$K$20:$K$26,'Conduit Tables'!$E$20:$E$26)),_xlfn.XLOOKUP(TRUE,IF(ISNUMBER(_xlpm.cap),_xlpm.cap&gt;=_xlpm.area,FALSE),_xlpm.sizes,"No size")))</f>
        <v/>
      </c>
      <c r="R54" s="41" t="str" cm="1">
        <f t="array" ref="R54">IF($M54="","",_xlfn.LET(_xlpm.area,$O54,_xlpm.cnt,$N54,_xlpm.sizes,'Conduit Tables'!$C$30:$C$38,_xlpm.cap,IF(_xlpm.cnt=1,'Conduit Tables'!$I$30:$I$38,IF(_xlpm.cnt=2,'Conduit Tables'!$K$30:$K$38,'Conduit Tables'!$E$30:$E$38)),_xlfn.XLOOKUP(TRUE,IF(ISNUMBER(_xlpm.cap),_xlpm.cap&gt;=_xlpm.area,FALSE),_xlpm.sizes,"No size")))</f>
        <v/>
      </c>
      <c r="S54" s="41"/>
    </row>
    <row r="55" spans="1:19">
      <c r="A55" t="s">
        <v>236</v>
      </c>
      <c r="E55" t="s">
        <v>217</v>
      </c>
      <c r="F55" t="s">
        <v>257</v>
      </c>
      <c r="G55" t="s">
        <v>242</v>
      </c>
      <c r="H55" t="s">
        <v>339</v>
      </c>
      <c r="I55">
        <v>2</v>
      </c>
      <c r="J55" t="s">
        <v>244</v>
      </c>
      <c r="K55" t="s">
        <v>327</v>
      </c>
      <c r="M55" s="43" t="str" cm="1">
        <f t="array" ref="M55">IFERROR(INDEX(_xlfn._xlws.SORT(_xlfn.UNIQUE(_xlfn._xlws.FILTER(_xlfn.VSTACK(Table3[[Conduit ]],Table3[Conduit Branch]),_xlfn.VSTACK(Table3[[Conduit ]],Table3[Conduit Branch])&lt;&gt;""))),ROWS($M$27:M55)),"")</f>
        <v/>
      </c>
      <c r="N55" s="44" t="str">
        <f>IF($M55="","",COUNTIF(Table3[[Conduit ]],$M55)+COUNTIF(Table3[Conduit Branch],$M55))</f>
        <v/>
      </c>
      <c r="O55" s="45" t="str" cm="1">
        <f t="array" ref="O55">IF($M55="","",_xlfn.LET(_xlpm.item,$M55,_xlpm.diameters,_xlfn.XLOOKUP(Table3[Cable Designation]&amp;"",Table6[Designation]&amp;"",Table6[Nom Diameter],0),SUMPRODUCT(((Table3[[Conduit ]]=_xlpm.item)+(Table3[Conduit Branch]=_xlpm.item))*PI()*(_xlpm.diameters/2)^2)))</f>
        <v/>
      </c>
      <c r="P55" s="41" t="str" cm="1">
        <f t="array" ref="P55">IF($M55="","",_xlfn.LET(_xlpm.area,$O55,_xlpm.cnt,$N55,_xlpm.sizes,'Conduit Tables'!$C$4:$C$16,_xlpm.cap,IF(_xlpm.cnt=1,'Conduit Tables'!$I$4:$I$16,IF(_xlpm.cnt=2,'Conduit Tables'!$K$4:$K$16,'Conduit Tables'!$E$4:$E$16)),_xlfn.XLOOKUP(TRUE,IF(ISNUMBER(_xlpm.cap),_xlpm.cap&gt;=_xlpm.area,FALSE),_xlpm.sizes,"No size")))</f>
        <v/>
      </c>
      <c r="Q55" s="41" t="str" cm="1">
        <f t="array" ref="Q55">IF($M55="","",_xlfn.LET(_xlpm.area,$O55,_xlpm.cnt,$N55,_xlpm.sizes,'Conduit Tables'!$C$20:$C$26,_xlpm.cap,IF(_xlpm.cnt=1,'Conduit Tables'!$I$20:$I$26,IF(_xlpm.cnt=2,'Conduit Tables'!$K$20:$K$26,'Conduit Tables'!$E$20:$E$26)),_xlfn.XLOOKUP(TRUE,IF(ISNUMBER(_xlpm.cap),_xlpm.cap&gt;=_xlpm.area,FALSE),_xlpm.sizes,"No size")))</f>
        <v/>
      </c>
      <c r="R55" s="41" t="str" cm="1">
        <f t="array" ref="R55">IF($M55="","",_xlfn.LET(_xlpm.area,$O55,_xlpm.cnt,$N55,_xlpm.sizes,'Conduit Tables'!$C$30:$C$38,_xlpm.cap,IF(_xlpm.cnt=1,'Conduit Tables'!$I$30:$I$38,IF(_xlpm.cnt=2,'Conduit Tables'!$K$30:$K$38,'Conduit Tables'!$E$30:$E$38)),_xlfn.XLOOKUP(TRUE,IF(ISNUMBER(_xlpm.cap),_xlpm.cap&gt;=_xlpm.area,FALSE),_xlpm.sizes,"No size")))</f>
        <v/>
      </c>
      <c r="S55" s="41"/>
    </row>
    <row r="56" spans="1:19">
      <c r="A56" t="s">
        <v>237</v>
      </c>
      <c r="E56" t="s">
        <v>217</v>
      </c>
      <c r="F56" t="s">
        <v>257</v>
      </c>
      <c r="G56" t="s">
        <v>242</v>
      </c>
      <c r="H56" t="s">
        <v>339</v>
      </c>
      <c r="I56">
        <v>2</v>
      </c>
      <c r="J56" t="s">
        <v>244</v>
      </c>
      <c r="K56" t="s">
        <v>327</v>
      </c>
      <c r="M56" s="43" t="str" cm="1">
        <f t="array" ref="M56">IFERROR(INDEX(_xlfn._xlws.SORT(_xlfn.UNIQUE(_xlfn._xlws.FILTER(_xlfn.VSTACK(Table3[[Conduit ]],Table3[Conduit Branch]),_xlfn.VSTACK(Table3[[Conduit ]],Table3[Conduit Branch])&lt;&gt;""))),ROWS($M$27:M56)),"")</f>
        <v/>
      </c>
      <c r="N56" s="44" t="str">
        <f>IF($M56="","",COUNTIF(Table3[[Conduit ]],$M56)+COUNTIF(Table3[Conduit Branch],$M56))</f>
        <v/>
      </c>
      <c r="O56" s="45" t="str" cm="1">
        <f t="array" ref="O56">IF($M56="","",_xlfn.LET(_xlpm.item,$M56,_xlpm.diameters,_xlfn.XLOOKUP(Table3[Cable Designation]&amp;"",Table6[Designation]&amp;"",Table6[Nom Diameter],0),SUMPRODUCT(((Table3[[Conduit ]]=_xlpm.item)+(Table3[Conduit Branch]=_xlpm.item))*PI()*(_xlpm.diameters/2)^2)))</f>
        <v/>
      </c>
      <c r="P56" s="41" t="str" cm="1">
        <f t="array" ref="P56">IF($M56="","",_xlfn.LET(_xlpm.area,$O56,_xlpm.cnt,$N56,_xlpm.sizes,'Conduit Tables'!$C$4:$C$16,_xlpm.cap,IF(_xlpm.cnt=1,'Conduit Tables'!$I$4:$I$16,IF(_xlpm.cnt=2,'Conduit Tables'!$K$4:$K$16,'Conduit Tables'!$E$4:$E$16)),_xlfn.XLOOKUP(TRUE,IF(ISNUMBER(_xlpm.cap),_xlpm.cap&gt;=_xlpm.area,FALSE),_xlpm.sizes,"No size")))</f>
        <v/>
      </c>
      <c r="Q56" s="41" t="str" cm="1">
        <f t="array" ref="Q56">IF($M56="","",_xlfn.LET(_xlpm.area,$O56,_xlpm.cnt,$N56,_xlpm.sizes,'Conduit Tables'!$C$20:$C$26,_xlpm.cap,IF(_xlpm.cnt=1,'Conduit Tables'!$I$20:$I$26,IF(_xlpm.cnt=2,'Conduit Tables'!$K$20:$K$26,'Conduit Tables'!$E$20:$E$26)),_xlfn.XLOOKUP(TRUE,IF(ISNUMBER(_xlpm.cap),_xlpm.cap&gt;=_xlpm.area,FALSE),_xlpm.sizes,"No size")))</f>
        <v/>
      </c>
      <c r="R56" s="41" t="str" cm="1">
        <f t="array" ref="R56">IF($M56="","",_xlfn.LET(_xlpm.area,$O56,_xlpm.cnt,$N56,_xlpm.sizes,'Conduit Tables'!$C$30:$C$38,_xlpm.cap,IF(_xlpm.cnt=1,'Conduit Tables'!$I$30:$I$38,IF(_xlpm.cnt=2,'Conduit Tables'!$K$30:$K$38,'Conduit Tables'!$E$30:$E$38)),_xlfn.XLOOKUP(TRUE,IF(ISNUMBER(_xlpm.cap),_xlpm.cap&gt;=_xlpm.area,FALSE),_xlpm.sizes,"No size")))</f>
        <v/>
      </c>
      <c r="S56" s="41"/>
    </row>
    <row r="57" spans="1:19">
      <c r="A57" t="s">
        <v>238</v>
      </c>
      <c r="E57" t="s">
        <v>217</v>
      </c>
      <c r="F57" t="s">
        <v>257</v>
      </c>
      <c r="G57" t="s">
        <v>242</v>
      </c>
      <c r="H57" t="s">
        <v>339</v>
      </c>
      <c r="I57">
        <v>2</v>
      </c>
      <c r="J57" t="s">
        <v>244</v>
      </c>
      <c r="K57" t="s">
        <v>325</v>
      </c>
      <c r="M57" s="43" t="str" cm="1">
        <f t="array" ref="M57">IFERROR(INDEX(_xlfn._xlws.SORT(_xlfn.UNIQUE(_xlfn._xlws.FILTER(_xlfn.VSTACK(Table3[[Conduit ]],Table3[Conduit Branch]),_xlfn.VSTACK(Table3[[Conduit ]],Table3[Conduit Branch])&lt;&gt;""))),ROWS($M$19:M57)),"")</f>
        <v/>
      </c>
      <c r="N57" s="44" t="str">
        <f>IF($M57="","",COUNTIF(Table3[[Conduit ]],$M57)+COUNTIF(Table3[Conduit Branch],$M57))</f>
        <v/>
      </c>
      <c r="O57" s="45" t="str" cm="1">
        <f t="array" ref="O57">IF($M57="","",_xlfn.LET(_xlpm.item,$M57,_xlpm.diameters,_xlfn.XLOOKUP(Table3[Cable Designation]&amp;"",Table6[Designation]&amp;"",Table6[Nom Diameter],0),SUMPRODUCT(((Table3[[Conduit ]]=_xlpm.item)+(Table3[Conduit Branch]=_xlpm.item))*PI()*(_xlpm.diameters/2)^2)))</f>
        <v/>
      </c>
      <c r="P57" s="41" t="str" cm="1">
        <f t="array" ref="P57">IF($M57="","",_xlfn.LET(_xlpm.area,$O57,_xlpm.cnt,$N57,_xlpm.sizes,'Conduit Tables'!$C$4:$C$16,_xlpm.cap,IF(_xlpm.cnt=1,'Conduit Tables'!$I$4:$I$16,IF(_xlpm.cnt=2,'Conduit Tables'!$K$4:$K$16,'Conduit Tables'!$E$4:$E$16)),_xlfn.XLOOKUP(TRUE,IF(ISNUMBER(_xlpm.cap),_xlpm.cap&gt;=_xlpm.area,FALSE),_xlpm.sizes,"No size")))</f>
        <v/>
      </c>
      <c r="Q57" s="41" t="str" cm="1">
        <f t="array" ref="Q57">IF($M57="","",_xlfn.LET(_xlpm.area,$O57,_xlpm.cnt,$N57,_xlpm.sizes,'Conduit Tables'!$C$20:$C$26,_xlpm.cap,IF(_xlpm.cnt=1,'Conduit Tables'!$I$20:$I$26,IF(_xlpm.cnt=2,'Conduit Tables'!$K$20:$K$26,'Conduit Tables'!$E$20:$E$26)),_xlfn.XLOOKUP(TRUE,IF(ISNUMBER(_xlpm.cap),_xlpm.cap&gt;=_xlpm.area,FALSE),_xlpm.sizes,"No size")))</f>
        <v/>
      </c>
      <c r="R57" s="41" t="str" cm="1">
        <f t="array" ref="R57">IF($M57="","",_xlfn.LET(_xlpm.area,$O57,_xlpm.cnt,$N57,_xlpm.sizes,'Conduit Tables'!$C$30:$C$38,_xlpm.cap,IF(_xlpm.cnt=1,'Conduit Tables'!$I$30:$I$38,IF(_xlpm.cnt=2,'Conduit Tables'!$K$30:$K$38,'Conduit Tables'!$E$30:$E$38)),_xlfn.XLOOKUP(TRUE,IF(ISNUMBER(_xlpm.cap),_xlpm.cap&gt;=_xlpm.area,FALSE),_xlpm.sizes,"No size")))</f>
        <v/>
      </c>
      <c r="S57" s="41"/>
    </row>
    <row r="58" spans="1:19">
      <c r="A58" t="s">
        <v>245</v>
      </c>
      <c r="E58" t="s">
        <v>217</v>
      </c>
      <c r="F58" t="s">
        <v>257</v>
      </c>
      <c r="G58" t="s">
        <v>242</v>
      </c>
      <c r="H58" t="s">
        <v>339</v>
      </c>
      <c r="I58">
        <v>2</v>
      </c>
      <c r="J58" t="s">
        <v>244</v>
      </c>
      <c r="K58" t="s">
        <v>325</v>
      </c>
      <c r="M58" s="43" t="str" cm="1">
        <f t="array" ref="M58">IFERROR(INDEX(_xlfn._xlws.SORT(_xlfn.UNIQUE(_xlfn._xlws.FILTER(_xlfn.VSTACK(Table3[[Conduit ]],Table3[Conduit Branch]),_xlfn.VSTACK(Table3[[Conduit ]],Table3[Conduit Branch])&lt;&gt;""))),ROWS($M$19:M58)),"")</f>
        <v/>
      </c>
      <c r="N58" s="44" t="str">
        <f>IF($M58="","",COUNTIF(Table3[[Conduit ]],$M58)+COUNTIF(Table3[Conduit Branch],$M58))</f>
        <v/>
      </c>
      <c r="O58" s="45" t="str" cm="1">
        <f t="array" ref="O58">IF($M58="","",_xlfn.LET(_xlpm.item,$M58,_xlpm.diameters,_xlfn.XLOOKUP(Table3[Cable Designation]&amp;"",Table6[Designation]&amp;"",Table6[Nom Diameter],0),SUMPRODUCT(((Table3[[Conduit ]]=_xlpm.item)+(Table3[Conduit Branch]=_xlpm.item))*PI()*(_xlpm.diameters/2)^2)))</f>
        <v/>
      </c>
      <c r="P58" s="41" t="str" cm="1">
        <f t="array" ref="P58">IF($M58="","",_xlfn.LET(_xlpm.area,$O58,_xlpm.cnt,$N58,_xlpm.sizes,'Conduit Tables'!$C$4:$C$16,_xlpm.cap,IF(_xlpm.cnt=1,'Conduit Tables'!$I$4:$I$16,IF(_xlpm.cnt=2,'Conduit Tables'!$K$4:$K$16,'Conduit Tables'!$E$4:$E$16)),_xlfn.XLOOKUP(TRUE,IF(ISNUMBER(_xlpm.cap),_xlpm.cap&gt;=_xlpm.area,FALSE),_xlpm.sizes,"No size")))</f>
        <v/>
      </c>
      <c r="Q58" s="41" t="str" cm="1">
        <f t="array" ref="Q58">IF($M58="","",_xlfn.LET(_xlpm.area,$O58,_xlpm.cnt,$N58,_xlpm.sizes,'Conduit Tables'!$C$20:$C$26,_xlpm.cap,IF(_xlpm.cnt=1,'Conduit Tables'!$I$20:$I$26,IF(_xlpm.cnt=2,'Conduit Tables'!$K$20:$K$26,'Conduit Tables'!$E$20:$E$26)),_xlfn.XLOOKUP(TRUE,IF(ISNUMBER(_xlpm.cap),_xlpm.cap&gt;=_xlpm.area,FALSE),_xlpm.sizes,"No size")))</f>
        <v/>
      </c>
      <c r="R58" s="41" t="str" cm="1">
        <f t="array" ref="R58">IF($M58="","",_xlfn.LET(_xlpm.area,$O58,_xlpm.cnt,$N58,_xlpm.sizes,'Conduit Tables'!$C$30:$C$38,_xlpm.cap,IF(_xlpm.cnt=1,'Conduit Tables'!$I$30:$I$38,IF(_xlpm.cnt=2,'Conduit Tables'!$K$30:$K$38,'Conduit Tables'!$E$30:$E$38)),_xlfn.XLOOKUP(TRUE,IF(ISNUMBER(_xlpm.cap),_xlpm.cap&gt;=_xlpm.area,FALSE),_xlpm.sizes,"No size")))</f>
        <v/>
      </c>
      <c r="S58" s="41"/>
    </row>
    <row r="59" spans="1:19">
      <c r="A59" t="s">
        <v>239</v>
      </c>
      <c r="E59" t="s">
        <v>217</v>
      </c>
      <c r="F59" t="s">
        <v>257</v>
      </c>
      <c r="G59" t="s">
        <v>242</v>
      </c>
      <c r="H59" t="s">
        <v>339</v>
      </c>
      <c r="I59">
        <v>2</v>
      </c>
      <c r="J59" t="s">
        <v>244</v>
      </c>
      <c r="K59" t="s">
        <v>325</v>
      </c>
      <c r="M59" s="43" t="str" cm="1">
        <f t="array" ref="M59">IFERROR(INDEX(_xlfn._xlws.SORT(_xlfn.UNIQUE(_xlfn._xlws.FILTER(_xlfn.VSTACK(Table3[[Conduit ]],Table3[Conduit Branch]),_xlfn.VSTACK(Table3[[Conduit ]],Table3[Conduit Branch])&lt;&gt;""))),ROWS($M$19:M59)),"")</f>
        <v/>
      </c>
      <c r="N59" s="44" t="str">
        <f>IF($M59="","",COUNTIF(Table3[[Conduit ]],$M59)+COUNTIF(Table3[Conduit Branch],$M59))</f>
        <v/>
      </c>
      <c r="O59" s="45" t="str" cm="1">
        <f t="array" ref="O59">IF($M59="","",_xlfn.LET(_xlpm.item,$M59,_xlpm.diameters,_xlfn.XLOOKUP(Table3[Cable Designation]&amp;"",Table6[Designation]&amp;"",Table6[Nom Diameter],0),SUMPRODUCT(((Table3[[Conduit ]]=_xlpm.item)+(Table3[Conduit Branch]=_xlpm.item))*PI()*(_xlpm.diameters/2)^2)))</f>
        <v/>
      </c>
      <c r="P59" s="41" t="str" cm="1">
        <f t="array" ref="P59">IF($M59="","",_xlfn.LET(_xlpm.area,$O59,_xlpm.cnt,$N59,_xlpm.sizes,'Conduit Tables'!$C$4:$C$16,_xlpm.cap,IF(_xlpm.cnt=1,'Conduit Tables'!$I$4:$I$16,IF(_xlpm.cnt=2,'Conduit Tables'!$K$4:$K$16,'Conduit Tables'!$E$4:$E$16)),_xlfn.XLOOKUP(TRUE,IF(ISNUMBER(_xlpm.cap),_xlpm.cap&gt;=_xlpm.area,FALSE),_xlpm.sizes,"No size")))</f>
        <v/>
      </c>
      <c r="Q59" s="41" t="str" cm="1">
        <f t="array" ref="Q59">IF($M59="","",_xlfn.LET(_xlpm.area,$O59,_xlpm.cnt,$N59,_xlpm.sizes,'Conduit Tables'!$C$20:$C$26,_xlpm.cap,IF(_xlpm.cnt=1,'Conduit Tables'!$I$20:$I$26,IF(_xlpm.cnt=2,'Conduit Tables'!$K$20:$K$26,'Conduit Tables'!$E$20:$E$26)),_xlfn.XLOOKUP(TRUE,IF(ISNUMBER(_xlpm.cap),_xlpm.cap&gt;=_xlpm.area,FALSE),_xlpm.sizes,"No size")))</f>
        <v/>
      </c>
      <c r="R59" s="41" t="str" cm="1">
        <f t="array" ref="R59">IF($M59="","",_xlfn.LET(_xlpm.area,$O59,_xlpm.cnt,$N59,_xlpm.sizes,'Conduit Tables'!$C$30:$C$38,_xlpm.cap,IF(_xlpm.cnt=1,'Conduit Tables'!$I$30:$I$38,IF(_xlpm.cnt=2,'Conduit Tables'!$K$30:$K$38,'Conduit Tables'!$E$30:$E$38)),_xlfn.XLOOKUP(TRUE,IF(ISNUMBER(_xlpm.cap),_xlpm.cap&gt;=_xlpm.area,FALSE),_xlpm.sizes,"No size")))</f>
        <v/>
      </c>
      <c r="S59" s="41"/>
    </row>
    <row r="60" spans="1:19">
      <c r="A60" t="s">
        <v>240</v>
      </c>
      <c r="E60" t="s">
        <v>217</v>
      </c>
      <c r="F60" t="s">
        <v>257</v>
      </c>
      <c r="G60" t="s">
        <v>242</v>
      </c>
      <c r="H60" t="s">
        <v>339</v>
      </c>
      <c r="I60">
        <v>2</v>
      </c>
      <c r="J60" t="s">
        <v>244</v>
      </c>
      <c r="K60" t="s">
        <v>325</v>
      </c>
      <c r="M60" s="43" t="str" cm="1">
        <f t="array" ref="M60">IFERROR(INDEX(_xlfn._xlws.SORT(_xlfn.UNIQUE(_xlfn._xlws.FILTER(_xlfn.VSTACK(Table3[[Conduit ]],Table3[Conduit Branch]),_xlfn.VSTACK(Table3[[Conduit ]],Table3[Conduit Branch])&lt;&gt;""))),ROWS($M$19:M60)),"")</f>
        <v/>
      </c>
      <c r="N60" s="44" t="str">
        <f>IF($M60="","",COUNTIF(Table3[[Conduit ]],$M60)+COUNTIF(Table3[Conduit Branch],$M60))</f>
        <v/>
      </c>
      <c r="O60" s="45" t="str" cm="1">
        <f t="array" ref="O60">IF($M60="","",_xlfn.LET(_xlpm.item,$M60,_xlpm.diameters,_xlfn.XLOOKUP(Table3[Cable Designation]&amp;"",Table6[Designation]&amp;"",Table6[Nom Diameter],0),SUMPRODUCT(((Table3[[Conduit ]]=_xlpm.item)+(Table3[Conduit Branch]=_xlpm.item))*PI()*(_xlpm.diameters/2)^2)))</f>
        <v/>
      </c>
      <c r="P60" s="41" t="str" cm="1">
        <f t="array" ref="P60">IF($M60="","",_xlfn.LET(_xlpm.area,$O60,_xlpm.cnt,$N60,_xlpm.sizes,'Conduit Tables'!$C$4:$C$16,_xlpm.cap,IF(_xlpm.cnt=1,'Conduit Tables'!$I$4:$I$16,IF(_xlpm.cnt=2,'Conduit Tables'!$K$4:$K$16,'Conduit Tables'!$E$4:$E$16)),_xlfn.XLOOKUP(TRUE,IF(ISNUMBER(_xlpm.cap),_xlpm.cap&gt;=_xlpm.area,FALSE),_xlpm.sizes,"No size")))</f>
        <v/>
      </c>
      <c r="Q60" s="41" t="str" cm="1">
        <f t="array" ref="Q60">IF($M60="","",_xlfn.LET(_xlpm.area,$O60,_xlpm.cnt,$N60,_xlpm.sizes,'Conduit Tables'!$C$20:$C$26,_xlpm.cap,IF(_xlpm.cnt=1,'Conduit Tables'!$I$20:$I$26,IF(_xlpm.cnt=2,'Conduit Tables'!$K$20:$K$26,'Conduit Tables'!$E$20:$E$26)),_xlfn.XLOOKUP(TRUE,IF(ISNUMBER(_xlpm.cap),_xlpm.cap&gt;=_xlpm.area,FALSE),_xlpm.sizes,"No size")))</f>
        <v/>
      </c>
      <c r="R60" s="41" t="str" cm="1">
        <f t="array" ref="R60">IF($M60="","",_xlfn.LET(_xlpm.area,$O60,_xlpm.cnt,$N60,_xlpm.sizes,'Conduit Tables'!$C$30:$C$38,_xlpm.cap,IF(_xlpm.cnt=1,'Conduit Tables'!$I$30:$I$38,IF(_xlpm.cnt=2,'Conduit Tables'!$K$30:$K$38,'Conduit Tables'!$E$30:$E$38)),_xlfn.XLOOKUP(TRUE,IF(ISNUMBER(_xlpm.cap),_xlpm.cap&gt;=_xlpm.area,FALSE),_xlpm.sizes,"No size")))</f>
        <v/>
      </c>
      <c r="S60" s="41"/>
    </row>
    <row r="61" spans="1:19">
      <c r="A61" t="s">
        <v>246</v>
      </c>
      <c r="E61" t="s">
        <v>217</v>
      </c>
      <c r="F61" t="s">
        <v>257</v>
      </c>
      <c r="G61" t="s">
        <v>242</v>
      </c>
      <c r="H61" t="s">
        <v>339</v>
      </c>
      <c r="I61">
        <v>2</v>
      </c>
      <c r="J61" t="s">
        <v>244</v>
      </c>
      <c r="K61" t="s">
        <v>326</v>
      </c>
      <c r="M61" s="43" t="str" cm="1">
        <f t="array" ref="M61">IFERROR(INDEX(_xlfn._xlws.SORT(_xlfn.UNIQUE(_xlfn._xlws.FILTER(_xlfn.VSTACK(Table3[[Conduit ]],Table3[Conduit Branch]),_xlfn.VSTACK(Table3[[Conduit ]],Table3[Conduit Branch])&lt;&gt;""))),ROWS($M$19:M61)),"")</f>
        <v/>
      </c>
      <c r="N61" s="44" t="str">
        <f>IF($M61="","",COUNTIF(Table3[[Conduit ]],$M61)+COUNTIF(Table3[Conduit Branch],$M61))</f>
        <v/>
      </c>
      <c r="O61" s="45" t="str" cm="1">
        <f t="array" ref="O61">IF($M61="","",_xlfn.LET(_xlpm.item,$M61,_xlpm.diameters,_xlfn.XLOOKUP(Table3[Cable Designation]&amp;"",Table6[Designation]&amp;"",Table6[Nom Diameter],0),SUMPRODUCT(((Table3[[Conduit ]]=_xlpm.item)+(Table3[Conduit Branch]=_xlpm.item))*PI()*(_xlpm.diameters/2)^2)))</f>
        <v/>
      </c>
      <c r="P61" s="41" t="str" cm="1">
        <f t="array" ref="P61">IF($M61="","",_xlfn.LET(_xlpm.area,$O61,_xlpm.cnt,$N61,_xlpm.sizes,'Conduit Tables'!$C$4:$C$16,_xlpm.cap,IF(_xlpm.cnt=1,'Conduit Tables'!$I$4:$I$16,IF(_xlpm.cnt=2,'Conduit Tables'!$K$4:$K$16,'Conduit Tables'!$E$4:$E$16)),_xlfn.XLOOKUP(TRUE,IF(ISNUMBER(_xlpm.cap),_xlpm.cap&gt;=_xlpm.area,FALSE),_xlpm.sizes,"No size")))</f>
        <v/>
      </c>
      <c r="Q61" s="41" t="str" cm="1">
        <f t="array" ref="Q61">IF($M61="","",_xlfn.LET(_xlpm.area,$O61,_xlpm.cnt,$N61,_xlpm.sizes,'Conduit Tables'!$C$20:$C$26,_xlpm.cap,IF(_xlpm.cnt=1,'Conduit Tables'!$I$20:$I$26,IF(_xlpm.cnt=2,'Conduit Tables'!$K$20:$K$26,'Conduit Tables'!$E$20:$E$26)),_xlfn.XLOOKUP(TRUE,IF(ISNUMBER(_xlpm.cap),_xlpm.cap&gt;=_xlpm.area,FALSE),_xlpm.sizes,"No size")))</f>
        <v/>
      </c>
      <c r="R61" s="41" t="str" cm="1">
        <f t="array" ref="R61">IF($M61="","",_xlfn.LET(_xlpm.area,$O61,_xlpm.cnt,$N61,_xlpm.sizes,'Conduit Tables'!$C$30:$C$38,_xlpm.cap,IF(_xlpm.cnt=1,'Conduit Tables'!$I$30:$I$38,IF(_xlpm.cnt=2,'Conduit Tables'!$K$30:$K$38,'Conduit Tables'!$E$30:$E$38)),_xlfn.XLOOKUP(TRUE,IF(ISNUMBER(_xlpm.cap),_xlpm.cap&gt;=_xlpm.area,FALSE),_xlpm.sizes,"No size")))</f>
        <v/>
      </c>
      <c r="S61" s="41"/>
    </row>
    <row r="62" spans="1:19">
      <c r="A62" t="s">
        <v>247</v>
      </c>
      <c r="E62" t="s">
        <v>217</v>
      </c>
      <c r="F62" t="s">
        <v>257</v>
      </c>
      <c r="G62" t="s">
        <v>242</v>
      </c>
      <c r="H62" t="s">
        <v>339</v>
      </c>
      <c r="I62">
        <v>2</v>
      </c>
      <c r="J62" t="s">
        <v>244</v>
      </c>
      <c r="K62" t="s">
        <v>326</v>
      </c>
      <c r="M62" s="43" t="str" cm="1">
        <f t="array" ref="M62">IFERROR(INDEX(_xlfn._xlws.SORT(_xlfn.UNIQUE(_xlfn._xlws.FILTER(_xlfn.VSTACK(Table3[[Conduit ]],Table3[Conduit Branch]),_xlfn.VSTACK(Table3[[Conduit ]],Table3[Conduit Branch])&lt;&gt;""))),ROWS($M$19:M62)),"")</f>
        <v/>
      </c>
      <c r="N62" s="44" t="str">
        <f>IF($M62="","",COUNTIF(Table3[[Conduit ]],$M62)+COUNTIF(Table3[Conduit Branch],$M62))</f>
        <v/>
      </c>
      <c r="O62" s="45" t="str" cm="1">
        <f t="array" ref="O62">IF($M62="","",_xlfn.LET(_xlpm.item,$M62,_xlpm.diameters,_xlfn.XLOOKUP(Table3[Cable Designation]&amp;"",Table6[Designation]&amp;"",Table6[Nom Diameter],0),SUMPRODUCT(((Table3[[Conduit ]]=_xlpm.item)+(Table3[Conduit Branch]=_xlpm.item))*PI()*(_xlpm.diameters/2)^2)))</f>
        <v/>
      </c>
      <c r="P62" s="41" t="str" cm="1">
        <f t="array" ref="P62">IF($M62="","",_xlfn.LET(_xlpm.area,$O62,_xlpm.cnt,$N62,_xlpm.sizes,'Conduit Tables'!$C$4:$C$16,_xlpm.cap,IF(_xlpm.cnt=1,'Conduit Tables'!$I$4:$I$16,IF(_xlpm.cnt=2,'Conduit Tables'!$K$4:$K$16,'Conduit Tables'!$E$4:$E$16)),_xlfn.XLOOKUP(TRUE,IF(ISNUMBER(_xlpm.cap),_xlpm.cap&gt;=_xlpm.area,FALSE),_xlpm.sizes,"No size")))</f>
        <v/>
      </c>
      <c r="Q62" s="41" t="str" cm="1">
        <f t="array" ref="Q62">IF($M62="","",_xlfn.LET(_xlpm.area,$O62,_xlpm.cnt,$N62,_xlpm.sizes,'Conduit Tables'!$C$20:$C$26,_xlpm.cap,IF(_xlpm.cnt=1,'Conduit Tables'!$I$20:$I$26,IF(_xlpm.cnt=2,'Conduit Tables'!$K$20:$K$26,'Conduit Tables'!$E$20:$E$26)),_xlfn.XLOOKUP(TRUE,IF(ISNUMBER(_xlpm.cap),_xlpm.cap&gt;=_xlpm.area,FALSE),_xlpm.sizes,"No size")))</f>
        <v/>
      </c>
      <c r="R62" s="41" t="str" cm="1">
        <f t="array" ref="R62">IF($M62="","",_xlfn.LET(_xlpm.area,$O62,_xlpm.cnt,$N62,_xlpm.sizes,'Conduit Tables'!$C$30:$C$38,_xlpm.cap,IF(_xlpm.cnt=1,'Conduit Tables'!$I$30:$I$38,IF(_xlpm.cnt=2,'Conduit Tables'!$K$30:$K$38,'Conduit Tables'!$E$30:$E$38)),_xlfn.XLOOKUP(TRUE,IF(ISNUMBER(_xlpm.cap),_xlpm.cap&gt;=_xlpm.area,FALSE),_xlpm.sizes,"No size")))</f>
        <v/>
      </c>
      <c r="S62" s="41"/>
    </row>
    <row r="63" spans="1:19">
      <c r="A63" t="s">
        <v>248</v>
      </c>
      <c r="E63" t="s">
        <v>217</v>
      </c>
      <c r="F63" t="s">
        <v>257</v>
      </c>
      <c r="G63" t="s">
        <v>242</v>
      </c>
      <c r="H63" t="s">
        <v>339</v>
      </c>
      <c r="I63">
        <v>2</v>
      </c>
      <c r="J63" t="s">
        <v>244</v>
      </c>
      <c r="K63" t="s">
        <v>326</v>
      </c>
      <c r="M63" s="43" t="str" cm="1">
        <f t="array" ref="M63">IFERROR(INDEX(_xlfn._xlws.SORT(_xlfn.UNIQUE(_xlfn._xlws.FILTER(_xlfn.VSTACK(Table3[[Conduit ]],Table3[Conduit Branch]),_xlfn.VSTACK(Table3[[Conduit ]],Table3[Conduit Branch])&lt;&gt;""))),ROWS($M$19:M63)),"")</f>
        <v/>
      </c>
      <c r="N63" s="44" t="str">
        <f>IF($M63="","",COUNTIF(Table3[[Conduit ]],$M63)+COUNTIF(Table3[Conduit Branch],$M63))</f>
        <v/>
      </c>
      <c r="O63" s="45" t="str" cm="1">
        <f t="array" ref="O63">IF($M63="","",_xlfn.LET(_xlpm.item,$M63,_xlpm.diameters,_xlfn.XLOOKUP(Table3[Cable Designation]&amp;"",Table6[Designation]&amp;"",Table6[Nom Diameter],0),SUMPRODUCT(((Table3[[Conduit ]]=_xlpm.item)+(Table3[Conduit Branch]=_xlpm.item))*PI()*(_xlpm.diameters/2)^2)))</f>
        <v/>
      </c>
      <c r="P63" s="41" t="str" cm="1">
        <f t="array" ref="P63">IF($M63="","",_xlfn.LET(_xlpm.area,$O63,_xlpm.cnt,$N63,_xlpm.sizes,'Conduit Tables'!$C$4:$C$16,_xlpm.cap,IF(_xlpm.cnt=1,'Conduit Tables'!$I$4:$I$16,IF(_xlpm.cnt=2,'Conduit Tables'!$K$4:$K$16,'Conduit Tables'!$E$4:$E$16)),_xlfn.XLOOKUP(TRUE,IF(ISNUMBER(_xlpm.cap),_xlpm.cap&gt;=_xlpm.area,FALSE),_xlpm.sizes,"No size")))</f>
        <v/>
      </c>
      <c r="Q63" s="41" t="str" cm="1">
        <f t="array" ref="Q63">IF($M63="","",_xlfn.LET(_xlpm.area,$O63,_xlpm.cnt,$N63,_xlpm.sizes,'Conduit Tables'!$C$20:$C$26,_xlpm.cap,IF(_xlpm.cnt=1,'Conduit Tables'!$I$20:$I$26,IF(_xlpm.cnt=2,'Conduit Tables'!$K$20:$K$26,'Conduit Tables'!$E$20:$E$26)),_xlfn.XLOOKUP(TRUE,IF(ISNUMBER(_xlpm.cap),_xlpm.cap&gt;=_xlpm.area,FALSE),_xlpm.sizes,"No size")))</f>
        <v/>
      </c>
      <c r="R63" s="41" t="str" cm="1">
        <f t="array" ref="R63">IF($M63="","",_xlfn.LET(_xlpm.area,$O63,_xlpm.cnt,$N63,_xlpm.sizes,'Conduit Tables'!$C$30:$C$38,_xlpm.cap,IF(_xlpm.cnt=1,'Conduit Tables'!$I$30:$I$38,IF(_xlpm.cnt=2,'Conduit Tables'!$K$30:$K$38,'Conduit Tables'!$E$30:$E$38)),_xlfn.XLOOKUP(TRUE,IF(ISNUMBER(_xlpm.cap),_xlpm.cap&gt;=_xlpm.area,FALSE),_xlpm.sizes,"No size")))</f>
        <v/>
      </c>
      <c r="S63" s="41"/>
    </row>
    <row r="64" spans="1:19">
      <c r="A64" t="s">
        <v>249</v>
      </c>
      <c r="E64" t="s">
        <v>217</v>
      </c>
      <c r="F64" t="s">
        <v>257</v>
      </c>
      <c r="G64" t="s">
        <v>242</v>
      </c>
      <c r="H64" t="s">
        <v>339</v>
      </c>
      <c r="I64">
        <v>2</v>
      </c>
      <c r="J64" t="s">
        <v>244</v>
      </c>
      <c r="K64" t="s">
        <v>326</v>
      </c>
      <c r="M64" s="43" t="str" cm="1">
        <f t="array" ref="M64">IFERROR(INDEX(_xlfn._xlws.SORT(_xlfn.UNIQUE(_xlfn._xlws.FILTER(_xlfn.VSTACK(Table3[[Conduit ]],Table3[Conduit Branch]),_xlfn.VSTACK(Table3[[Conduit ]],Table3[Conduit Branch])&lt;&gt;""))),ROWS($M$19:M64)),"")</f>
        <v/>
      </c>
      <c r="N64" s="44" t="str">
        <f>IF($M64="","",COUNTIF(Table3[[Conduit ]],$M64)+COUNTIF(Table3[Conduit Branch],$M64))</f>
        <v/>
      </c>
      <c r="O64" s="45" t="str" cm="1">
        <f t="array" ref="O64">IF($M64="","",_xlfn.LET(_xlpm.item,$M64,_xlpm.diameters,_xlfn.XLOOKUP(Table3[Cable Designation]&amp;"",Table6[Designation]&amp;"",Table6[Nom Diameter],0),SUMPRODUCT(((Table3[[Conduit ]]=_xlpm.item)+(Table3[Conduit Branch]=_xlpm.item))*PI()*(_xlpm.diameters/2)^2)))</f>
        <v/>
      </c>
      <c r="P64" s="41" t="str" cm="1">
        <f t="array" ref="P64">IF($M64="","",_xlfn.LET(_xlpm.area,$O64,_xlpm.cnt,$N64,_xlpm.sizes,'Conduit Tables'!$C$4:$C$16,_xlpm.cap,IF(_xlpm.cnt=1,'Conduit Tables'!$I$4:$I$16,IF(_xlpm.cnt=2,'Conduit Tables'!$K$4:$K$16,'Conduit Tables'!$E$4:$E$16)),_xlfn.XLOOKUP(TRUE,IF(ISNUMBER(_xlpm.cap),_xlpm.cap&gt;=_xlpm.area,FALSE),_xlpm.sizes,"No size")))</f>
        <v/>
      </c>
      <c r="Q64" s="41" t="str" cm="1">
        <f t="array" ref="Q64">IF($M64="","",_xlfn.LET(_xlpm.area,$O64,_xlpm.cnt,$N64,_xlpm.sizes,'Conduit Tables'!$C$20:$C$26,_xlpm.cap,IF(_xlpm.cnt=1,'Conduit Tables'!$I$20:$I$26,IF(_xlpm.cnt=2,'Conduit Tables'!$K$20:$K$26,'Conduit Tables'!$E$20:$E$26)),_xlfn.XLOOKUP(TRUE,IF(ISNUMBER(_xlpm.cap),_xlpm.cap&gt;=_xlpm.area,FALSE),_xlpm.sizes,"No size")))</f>
        <v/>
      </c>
      <c r="R64" s="41" t="str" cm="1">
        <f t="array" ref="R64">IF($M64="","",_xlfn.LET(_xlpm.area,$O64,_xlpm.cnt,$N64,_xlpm.sizes,'Conduit Tables'!$C$30:$C$38,_xlpm.cap,IF(_xlpm.cnt=1,'Conduit Tables'!$I$30:$I$38,IF(_xlpm.cnt=2,'Conduit Tables'!$K$30:$K$38,'Conduit Tables'!$E$30:$E$38)),_xlfn.XLOOKUP(TRUE,IF(ISNUMBER(_xlpm.cap),_xlpm.cap&gt;=_xlpm.area,FALSE),_xlpm.sizes,"No size")))</f>
        <v/>
      </c>
      <c r="S64" s="41"/>
    </row>
    <row r="65" spans="1:19">
      <c r="A65" t="s">
        <v>254</v>
      </c>
      <c r="E65" t="s">
        <v>217</v>
      </c>
      <c r="F65" t="s">
        <v>257</v>
      </c>
      <c r="G65" t="s">
        <v>242</v>
      </c>
      <c r="H65" t="s">
        <v>339</v>
      </c>
      <c r="I65">
        <v>2</v>
      </c>
      <c r="J65" t="s">
        <v>244</v>
      </c>
      <c r="K65" t="s">
        <v>327</v>
      </c>
      <c r="M65" s="43" t="str" cm="1">
        <f t="array" ref="M65">IFERROR(INDEX(_xlfn._xlws.SORT(_xlfn.UNIQUE(_xlfn._xlws.FILTER(_xlfn.VSTACK(Table3[[Conduit ]],Table3[Conduit Branch]),_xlfn.VSTACK(Table3[[Conduit ]],Table3[Conduit Branch])&lt;&gt;""))),ROWS($M$19:M65)),"")</f>
        <v/>
      </c>
      <c r="N65" s="44" t="str">
        <f>IF($M65="","",COUNTIF(Table3[[Conduit ]],$M65)+COUNTIF(Table3[Conduit Branch],$M65))</f>
        <v/>
      </c>
      <c r="O65" s="45" t="str" cm="1">
        <f t="array" ref="O65">IF($M65="","",_xlfn.LET(_xlpm.item,$M65,_xlpm.diameters,_xlfn.XLOOKUP(Table3[Cable Designation]&amp;"",Table6[Designation]&amp;"",Table6[Nom Diameter],0),SUMPRODUCT(((Table3[[Conduit ]]=_xlpm.item)+(Table3[Conduit Branch]=_xlpm.item))*PI()*(_xlpm.diameters/2)^2)))</f>
        <v/>
      </c>
      <c r="P65" s="41" t="str" cm="1">
        <f t="array" ref="P65">IF($M65="","",_xlfn.LET(_xlpm.area,$O65,_xlpm.cnt,$N65,_xlpm.sizes,'Conduit Tables'!$C$4:$C$16,_xlpm.cap,IF(_xlpm.cnt=1,'Conduit Tables'!$I$4:$I$16,IF(_xlpm.cnt=2,'Conduit Tables'!$K$4:$K$16,'Conduit Tables'!$E$4:$E$16)),_xlfn.XLOOKUP(TRUE,IF(ISNUMBER(_xlpm.cap),_xlpm.cap&gt;=_xlpm.area,FALSE),_xlpm.sizes,"No size")))</f>
        <v/>
      </c>
      <c r="Q65" s="41" t="str" cm="1">
        <f t="array" ref="Q65">IF($M65="","",_xlfn.LET(_xlpm.area,$O65,_xlpm.cnt,$N65,_xlpm.sizes,'Conduit Tables'!$C$20:$C$26,_xlpm.cap,IF(_xlpm.cnt=1,'Conduit Tables'!$I$20:$I$26,IF(_xlpm.cnt=2,'Conduit Tables'!$K$20:$K$26,'Conduit Tables'!$E$20:$E$26)),_xlfn.XLOOKUP(TRUE,IF(ISNUMBER(_xlpm.cap),_xlpm.cap&gt;=_xlpm.area,FALSE),_xlpm.sizes,"No size")))</f>
        <v/>
      </c>
      <c r="R65" s="41" t="str" cm="1">
        <f t="array" ref="R65">IF($M65="","",_xlfn.LET(_xlpm.area,$O65,_xlpm.cnt,$N65,_xlpm.sizes,'Conduit Tables'!$C$30:$C$38,_xlpm.cap,IF(_xlpm.cnt=1,'Conduit Tables'!$I$30:$I$38,IF(_xlpm.cnt=2,'Conduit Tables'!$K$30:$K$38,'Conduit Tables'!$E$30:$E$38)),_xlfn.XLOOKUP(TRUE,IF(ISNUMBER(_xlpm.cap),_xlpm.cap&gt;=_xlpm.area,FALSE),_xlpm.sizes,"No size")))</f>
        <v/>
      </c>
      <c r="S65" s="41"/>
    </row>
    <row r="66" spans="1:19">
      <c r="A66" t="s">
        <v>255</v>
      </c>
      <c r="E66" t="s">
        <v>217</v>
      </c>
      <c r="F66" t="s">
        <v>257</v>
      </c>
      <c r="G66" t="s">
        <v>242</v>
      </c>
      <c r="H66" t="s">
        <v>339</v>
      </c>
      <c r="I66">
        <v>2</v>
      </c>
      <c r="J66" t="s">
        <v>244</v>
      </c>
      <c r="K66" t="s">
        <v>325</v>
      </c>
      <c r="M66" s="43" t="str" cm="1">
        <f t="array" ref="M66">IFERROR(INDEX(_xlfn._xlws.SORT(_xlfn.UNIQUE(_xlfn._xlws.FILTER(_xlfn.VSTACK(Table3[[Conduit ]],Table3[Conduit Branch]),_xlfn.VSTACK(Table3[[Conduit ]],Table3[Conduit Branch])&lt;&gt;""))),ROWS($M$19:M66)),"")</f>
        <v/>
      </c>
      <c r="N66" s="44" t="str">
        <f>IF($M66="","",COUNTIF(Table3[[Conduit ]],$M66)+COUNTIF(Table3[Conduit Branch],$M66))</f>
        <v/>
      </c>
      <c r="O66" s="45" t="str" cm="1">
        <f t="array" ref="O66">IF($M66="","",_xlfn.LET(_xlpm.item,$M66,_xlpm.diameters,_xlfn.XLOOKUP(Table3[Cable Designation]&amp;"",Table6[Designation]&amp;"",Table6[Nom Diameter],0),SUMPRODUCT(((Table3[[Conduit ]]=_xlpm.item)+(Table3[Conduit Branch]=_xlpm.item))*PI()*(_xlpm.diameters/2)^2)))</f>
        <v/>
      </c>
      <c r="P66" s="41" t="str" cm="1">
        <f t="array" ref="P66">IF($M66="","",_xlfn.LET(_xlpm.area,$O66,_xlpm.cnt,$N66,_xlpm.sizes,'Conduit Tables'!$C$4:$C$16,_xlpm.cap,IF(_xlpm.cnt=1,'Conduit Tables'!$I$4:$I$16,IF(_xlpm.cnt=2,'Conduit Tables'!$K$4:$K$16,'Conduit Tables'!$E$4:$E$16)),_xlfn.XLOOKUP(TRUE,IF(ISNUMBER(_xlpm.cap),_xlpm.cap&gt;=_xlpm.area,FALSE),_xlpm.sizes,"No size")))</f>
        <v/>
      </c>
      <c r="Q66" s="41" t="str" cm="1">
        <f t="array" ref="Q66">IF($M66="","",_xlfn.LET(_xlpm.area,$O66,_xlpm.cnt,$N66,_xlpm.sizes,'Conduit Tables'!$C$20:$C$26,_xlpm.cap,IF(_xlpm.cnt=1,'Conduit Tables'!$I$20:$I$26,IF(_xlpm.cnt=2,'Conduit Tables'!$K$20:$K$26,'Conduit Tables'!$E$20:$E$26)),_xlfn.XLOOKUP(TRUE,IF(ISNUMBER(_xlpm.cap),_xlpm.cap&gt;=_xlpm.area,FALSE),_xlpm.sizes,"No size")))</f>
        <v/>
      </c>
      <c r="R66" s="41" t="str" cm="1">
        <f t="array" ref="R66">IF($M66="","",_xlfn.LET(_xlpm.area,$O66,_xlpm.cnt,$N66,_xlpm.sizes,'Conduit Tables'!$C$30:$C$38,_xlpm.cap,IF(_xlpm.cnt=1,'Conduit Tables'!$I$30:$I$38,IF(_xlpm.cnt=2,'Conduit Tables'!$K$30:$K$38,'Conduit Tables'!$E$30:$E$38)),_xlfn.XLOOKUP(TRUE,IF(ISNUMBER(_xlpm.cap),_xlpm.cap&gt;=_xlpm.area,FALSE),_xlpm.sizes,"No size")))</f>
        <v/>
      </c>
      <c r="S66" s="41"/>
    </row>
    <row r="67" spans="1:19">
      <c r="A67" t="s">
        <v>256</v>
      </c>
      <c r="E67" t="s">
        <v>217</v>
      </c>
      <c r="F67" t="s">
        <v>257</v>
      </c>
      <c r="G67" t="s">
        <v>242</v>
      </c>
      <c r="H67" t="s">
        <v>339</v>
      </c>
      <c r="I67">
        <v>2</v>
      </c>
      <c r="J67" t="s">
        <v>244</v>
      </c>
      <c r="K67" t="s">
        <v>325</v>
      </c>
      <c r="M67" s="43" t="str" cm="1">
        <f t="array" ref="M67">IFERROR(INDEX(_xlfn._xlws.SORT(_xlfn.UNIQUE(_xlfn._xlws.FILTER(_xlfn.VSTACK(Table3[[Conduit ]],Table3[Conduit Branch]),_xlfn.VSTACK(Table3[[Conduit ]],Table3[Conduit Branch])&lt;&gt;""))),ROWS($M$19:M67)),"")</f>
        <v/>
      </c>
      <c r="N67" s="44" t="str">
        <f>IF($M67="","",COUNTIF(Table3[[Conduit ]],$M67)+COUNTIF(Table3[Conduit Branch],$M67))</f>
        <v/>
      </c>
      <c r="O67" s="45" t="str" cm="1">
        <f t="array" ref="O67">IF($M67="","",_xlfn.LET(_xlpm.item,$M67,_xlpm.diameters,_xlfn.XLOOKUP(Table3[Cable Designation]&amp;"",Table6[Designation]&amp;"",Table6[Nom Diameter],0),SUMPRODUCT(((Table3[[Conduit ]]=_xlpm.item)+(Table3[Conduit Branch]=_xlpm.item))*PI()*(_xlpm.diameters/2)^2)))</f>
        <v/>
      </c>
      <c r="P67" s="41" t="str" cm="1">
        <f t="array" ref="P67">IF($M67="","",_xlfn.LET(_xlpm.area,$O67,_xlpm.cnt,$N67,_xlpm.sizes,'Conduit Tables'!$C$4:$C$16,_xlpm.cap,IF(_xlpm.cnt=1,'Conduit Tables'!$I$4:$I$16,IF(_xlpm.cnt=2,'Conduit Tables'!$K$4:$K$16,'Conduit Tables'!$E$4:$E$16)),_xlfn.XLOOKUP(TRUE,IF(ISNUMBER(_xlpm.cap),_xlpm.cap&gt;=_xlpm.area,FALSE),_xlpm.sizes,"No size")))</f>
        <v/>
      </c>
      <c r="Q67" s="41" t="str" cm="1">
        <f t="array" ref="Q67">IF($M67="","",_xlfn.LET(_xlpm.area,$O67,_xlpm.cnt,$N67,_xlpm.sizes,'Conduit Tables'!$C$20:$C$26,_xlpm.cap,IF(_xlpm.cnt=1,'Conduit Tables'!$I$20:$I$26,IF(_xlpm.cnt=2,'Conduit Tables'!$K$20:$K$26,'Conduit Tables'!$E$20:$E$26)),_xlfn.XLOOKUP(TRUE,IF(ISNUMBER(_xlpm.cap),_xlpm.cap&gt;=_xlpm.area,FALSE),_xlpm.sizes,"No size")))</f>
        <v/>
      </c>
      <c r="R67" s="41" t="str" cm="1">
        <f t="array" ref="R67">IF($M67="","",_xlfn.LET(_xlpm.area,$O67,_xlpm.cnt,$N67,_xlpm.sizes,'Conduit Tables'!$C$30:$C$38,_xlpm.cap,IF(_xlpm.cnt=1,'Conduit Tables'!$I$30:$I$38,IF(_xlpm.cnt=2,'Conduit Tables'!$K$30:$K$38,'Conduit Tables'!$E$30:$E$38)),_xlfn.XLOOKUP(TRUE,IF(ISNUMBER(_xlpm.cap),_xlpm.cap&gt;=_xlpm.area,FALSE),_xlpm.sizes,"No size")))</f>
        <v/>
      </c>
      <c r="S67" s="41"/>
    </row>
    <row r="68" spans="1:19">
      <c r="A68" t="s">
        <v>266</v>
      </c>
      <c r="E68" t="s">
        <v>217</v>
      </c>
      <c r="F68" t="s">
        <v>257</v>
      </c>
      <c r="G68" t="s">
        <v>193</v>
      </c>
      <c r="H68" t="s">
        <v>343</v>
      </c>
      <c r="I68">
        <v>1</v>
      </c>
      <c r="J68" t="s">
        <v>244</v>
      </c>
      <c r="K68" t="s">
        <v>325</v>
      </c>
      <c r="M68" s="43" t="str" cm="1">
        <f t="array" ref="M68">IFERROR(INDEX(_xlfn._xlws.SORT(_xlfn.UNIQUE(_xlfn._xlws.FILTER(_xlfn.VSTACK(Table3[[Conduit ]],Table3[Conduit Branch]),_xlfn.VSTACK(Table3[[Conduit ]],Table3[Conduit Branch])&lt;&gt;""))),ROWS($M$19:M68)),"")</f>
        <v/>
      </c>
      <c r="N68" s="44" t="str">
        <f>IF($M68="","",COUNTIF(Table3[[Conduit ]],$M68)+COUNTIF(Table3[Conduit Branch],$M68))</f>
        <v/>
      </c>
      <c r="O68" s="45" t="str" cm="1">
        <f t="array" ref="O68">IF($M68="","",_xlfn.LET(_xlpm.item,$M68,_xlpm.diameters,_xlfn.XLOOKUP(Table3[Cable Designation]&amp;"",Table6[Designation]&amp;"",Table6[Nom Diameter],0),SUMPRODUCT(((Table3[[Conduit ]]=_xlpm.item)+(Table3[Conduit Branch]=_xlpm.item))*PI()*(_xlpm.diameters/2)^2)))</f>
        <v/>
      </c>
      <c r="P68" s="41" t="str" cm="1">
        <f t="array" ref="P68">IF($M68="","",_xlfn.LET(_xlpm.area,$O68,_xlpm.cnt,$N68,_xlpm.sizes,'Conduit Tables'!$C$4:$C$16,_xlpm.cap,IF(_xlpm.cnt=1,'Conduit Tables'!$I$4:$I$16,IF(_xlpm.cnt=2,'Conduit Tables'!$K$4:$K$16,'Conduit Tables'!$E$4:$E$16)),_xlfn.XLOOKUP(TRUE,IF(ISNUMBER(_xlpm.cap),_xlpm.cap&gt;=_xlpm.area,FALSE),_xlpm.sizes,"No size")))</f>
        <v/>
      </c>
      <c r="Q68" s="41" t="str" cm="1">
        <f t="array" ref="Q68">IF($M68="","",_xlfn.LET(_xlpm.area,$O68,_xlpm.cnt,$N68,_xlpm.sizes,'Conduit Tables'!$C$20:$C$26,_xlpm.cap,IF(_xlpm.cnt=1,'Conduit Tables'!$I$20:$I$26,IF(_xlpm.cnt=2,'Conduit Tables'!$K$20:$K$26,'Conduit Tables'!$E$20:$E$26)),_xlfn.XLOOKUP(TRUE,IF(ISNUMBER(_xlpm.cap),_xlpm.cap&gt;=_xlpm.area,FALSE),_xlpm.sizes,"No size")))</f>
        <v/>
      </c>
      <c r="R68" s="41" t="str" cm="1">
        <f t="array" ref="R68">IF($M68="","",_xlfn.LET(_xlpm.area,$O68,_xlpm.cnt,$N68,_xlpm.sizes,'Conduit Tables'!$C$30:$C$38,_xlpm.cap,IF(_xlpm.cnt=1,'Conduit Tables'!$I$30:$I$38,IF(_xlpm.cnt=2,'Conduit Tables'!$K$30:$K$38,'Conduit Tables'!$E$30:$E$38)),_xlfn.XLOOKUP(TRUE,IF(ISNUMBER(_xlpm.cap),_xlpm.cap&gt;=_xlpm.area,FALSE),_xlpm.sizes,"No size")))</f>
        <v/>
      </c>
      <c r="S68" s="41"/>
    </row>
    <row r="69" spans="1:19">
      <c r="A69" t="s">
        <v>268</v>
      </c>
      <c r="E69" t="s">
        <v>217</v>
      </c>
      <c r="F69" t="s">
        <v>257</v>
      </c>
      <c r="G69" t="s">
        <v>193</v>
      </c>
      <c r="H69" t="s">
        <v>343</v>
      </c>
      <c r="I69">
        <v>1</v>
      </c>
      <c r="J69" t="s">
        <v>244</v>
      </c>
      <c r="K69" t="s">
        <v>325</v>
      </c>
      <c r="M69" s="43" t="str" cm="1">
        <f t="array" ref="M69">IFERROR(INDEX(_xlfn._xlws.SORT(_xlfn.UNIQUE(_xlfn._xlws.FILTER(_xlfn.VSTACK(Table3[[Conduit ]],Table3[Conduit Branch]),_xlfn.VSTACK(Table3[[Conduit ]],Table3[Conduit Branch])&lt;&gt;""))),ROWS($M$19:M69)),"")</f>
        <v/>
      </c>
      <c r="N69" s="44" t="str">
        <f>IF($M69="","",COUNTIF(Table3[[Conduit ]],$M69)+COUNTIF(Table3[Conduit Branch],$M69))</f>
        <v/>
      </c>
      <c r="O69" s="45" t="str" cm="1">
        <f t="array" ref="O69">IF($M69="","",_xlfn.LET(_xlpm.item,$M69,_xlpm.diameters,_xlfn.XLOOKUP(Table3[Cable Designation]&amp;"",Table6[Designation]&amp;"",Table6[Nom Diameter],0),SUMPRODUCT(((Table3[[Conduit ]]=_xlpm.item)+(Table3[Conduit Branch]=_xlpm.item))*PI()*(_xlpm.diameters/2)^2)))</f>
        <v/>
      </c>
      <c r="P69" s="41" t="str" cm="1">
        <f t="array" ref="P69">IF($M69="","",_xlfn.LET(_xlpm.area,$O69,_xlpm.cnt,$N69,_xlpm.sizes,'Conduit Tables'!$C$4:$C$16,_xlpm.cap,IF(_xlpm.cnt=1,'Conduit Tables'!$I$4:$I$16,IF(_xlpm.cnt=2,'Conduit Tables'!$K$4:$K$16,'Conduit Tables'!$E$4:$E$16)),_xlfn.XLOOKUP(TRUE,IF(ISNUMBER(_xlpm.cap),_xlpm.cap&gt;=_xlpm.area,FALSE),_xlpm.sizes,"No size")))</f>
        <v/>
      </c>
      <c r="Q69" s="41" t="str" cm="1">
        <f t="array" ref="Q69">IF($M69="","",_xlfn.LET(_xlpm.area,$O69,_xlpm.cnt,$N69,_xlpm.sizes,'Conduit Tables'!$C$20:$C$26,_xlpm.cap,IF(_xlpm.cnt=1,'Conduit Tables'!$I$20:$I$26,IF(_xlpm.cnt=2,'Conduit Tables'!$K$20:$K$26,'Conduit Tables'!$E$20:$E$26)),_xlfn.XLOOKUP(TRUE,IF(ISNUMBER(_xlpm.cap),_xlpm.cap&gt;=_xlpm.area,FALSE),_xlpm.sizes,"No size")))</f>
        <v/>
      </c>
      <c r="R69" s="41" t="str" cm="1">
        <f t="array" ref="R69">IF($M69="","",_xlfn.LET(_xlpm.area,$O69,_xlpm.cnt,$N69,_xlpm.sizes,'Conduit Tables'!$C$30:$C$38,_xlpm.cap,IF(_xlpm.cnt=1,'Conduit Tables'!$I$30:$I$38,IF(_xlpm.cnt=2,'Conduit Tables'!$K$30:$K$38,'Conduit Tables'!$E$30:$E$38)),_xlfn.XLOOKUP(TRUE,IF(ISNUMBER(_xlpm.cap),_xlpm.cap&gt;=_xlpm.area,FALSE),_xlpm.sizes,"No size")))</f>
        <v/>
      </c>
      <c r="S69" s="41"/>
    </row>
    <row r="70" spans="1:19">
      <c r="A70" t="s">
        <v>269</v>
      </c>
      <c r="E70" t="s">
        <v>217</v>
      </c>
      <c r="F70" t="s">
        <v>257</v>
      </c>
      <c r="G70" t="s">
        <v>193</v>
      </c>
      <c r="H70" t="s">
        <v>343</v>
      </c>
      <c r="I70">
        <v>1</v>
      </c>
      <c r="J70" t="s">
        <v>244</v>
      </c>
      <c r="K70" t="s">
        <v>331</v>
      </c>
      <c r="M70" s="43" t="str" cm="1">
        <f t="array" ref="M70">IFERROR(INDEX(_xlfn._xlws.SORT(_xlfn.UNIQUE(_xlfn._xlws.FILTER(_xlfn.VSTACK(Table3[[Conduit ]],Table3[Conduit Branch]),_xlfn.VSTACK(Table3[[Conduit ]],Table3[Conduit Branch])&lt;&gt;""))),ROWS($M$19:M70)),"")</f>
        <v/>
      </c>
      <c r="N70" s="44" t="str">
        <f>IF($M70="","",COUNTIF(Table3[[Conduit ]],$M70)+COUNTIF(Table3[Conduit Branch],$M70))</f>
        <v/>
      </c>
      <c r="O70" s="45" t="str" cm="1">
        <f t="array" ref="O70">IF($M70="","",_xlfn.LET(_xlpm.item,$M70,_xlpm.diameters,_xlfn.XLOOKUP(Table3[Cable Designation]&amp;"",Table6[Designation]&amp;"",Table6[Nom Diameter],0),SUMPRODUCT(((Table3[[Conduit ]]=_xlpm.item)+(Table3[Conduit Branch]=_xlpm.item))*PI()*(_xlpm.diameters/2)^2)))</f>
        <v/>
      </c>
      <c r="P70" s="41" t="str" cm="1">
        <f t="array" ref="P70">IF($M70="","",_xlfn.LET(_xlpm.area,$O70,_xlpm.cnt,$N70,_xlpm.sizes,'Conduit Tables'!$C$4:$C$16,_xlpm.cap,IF(_xlpm.cnt=1,'Conduit Tables'!$I$4:$I$16,IF(_xlpm.cnt=2,'Conduit Tables'!$K$4:$K$16,'Conduit Tables'!$E$4:$E$16)),_xlfn.XLOOKUP(TRUE,IF(ISNUMBER(_xlpm.cap),_xlpm.cap&gt;=_xlpm.area,FALSE),_xlpm.sizes,"No size")))</f>
        <v/>
      </c>
      <c r="Q70" s="41" t="str" cm="1">
        <f t="array" ref="Q70">IF($M70="","",_xlfn.LET(_xlpm.area,$O70,_xlpm.cnt,$N70,_xlpm.sizes,'Conduit Tables'!$C$20:$C$26,_xlpm.cap,IF(_xlpm.cnt=1,'Conduit Tables'!$I$20:$I$26,IF(_xlpm.cnt=2,'Conduit Tables'!$K$20:$K$26,'Conduit Tables'!$E$20:$E$26)),_xlfn.XLOOKUP(TRUE,IF(ISNUMBER(_xlpm.cap),_xlpm.cap&gt;=_xlpm.area,FALSE),_xlpm.sizes,"No size")))</f>
        <v/>
      </c>
      <c r="R70" s="41" t="str" cm="1">
        <f t="array" ref="R70">IF($M70="","",_xlfn.LET(_xlpm.area,$O70,_xlpm.cnt,$N70,_xlpm.sizes,'Conduit Tables'!$C$30:$C$38,_xlpm.cap,IF(_xlpm.cnt=1,'Conduit Tables'!$I$30:$I$38,IF(_xlpm.cnt=2,'Conduit Tables'!$K$30:$K$38,'Conduit Tables'!$E$30:$E$38)),_xlfn.XLOOKUP(TRUE,IF(ISNUMBER(_xlpm.cap),_xlpm.cap&gt;=_xlpm.area,FALSE),_xlpm.sizes,"No size")))</f>
        <v/>
      </c>
      <c r="S70" s="41"/>
    </row>
    <row r="71" spans="1:19">
      <c r="A71" t="s">
        <v>271</v>
      </c>
      <c r="E71" t="s">
        <v>217</v>
      </c>
      <c r="F71" t="s">
        <v>257</v>
      </c>
      <c r="G71" t="s">
        <v>193</v>
      </c>
      <c r="H71" t="s">
        <v>343</v>
      </c>
      <c r="I71">
        <v>1</v>
      </c>
      <c r="J71" t="s">
        <v>244</v>
      </c>
      <c r="K71" t="s">
        <v>325</v>
      </c>
      <c r="M71" s="43" t="str" cm="1">
        <f t="array" ref="M71">IFERROR(INDEX(_xlfn._xlws.SORT(_xlfn.UNIQUE(_xlfn._xlws.FILTER(_xlfn.VSTACK(Table3[[Conduit ]],Table3[Conduit Branch]),_xlfn.VSTACK(Table3[[Conduit ]],Table3[Conduit Branch])&lt;&gt;""))),ROWS($M$19:M71)),"")</f>
        <v/>
      </c>
      <c r="N71" s="44" t="str">
        <f>IF($M71="","",COUNTIF(Table3[[Conduit ]],$M71)+COUNTIF(Table3[Conduit Branch],$M71))</f>
        <v/>
      </c>
      <c r="O71" s="45" t="str" cm="1">
        <f t="array" ref="O71">IF($M71="","",_xlfn.LET(_xlpm.item,$M71,_xlpm.diameters,_xlfn.XLOOKUP(Table3[Cable Designation]&amp;"",Table6[Designation]&amp;"",Table6[Nom Diameter],0),SUMPRODUCT(((Table3[[Conduit ]]=_xlpm.item)+(Table3[Conduit Branch]=_xlpm.item))*PI()*(_xlpm.diameters/2)^2)))</f>
        <v/>
      </c>
      <c r="P71" s="41" t="str" cm="1">
        <f t="array" ref="P71">IF($M71="","",_xlfn.LET(_xlpm.area,$O71,_xlpm.cnt,$N71,_xlpm.sizes,'Conduit Tables'!$C$4:$C$16,_xlpm.cap,IF(_xlpm.cnt=1,'Conduit Tables'!$I$4:$I$16,IF(_xlpm.cnt=2,'Conduit Tables'!$K$4:$K$16,'Conduit Tables'!$E$4:$E$16)),_xlfn.XLOOKUP(TRUE,IF(ISNUMBER(_xlpm.cap),_xlpm.cap&gt;=_xlpm.area,FALSE),_xlpm.sizes,"No size")))</f>
        <v/>
      </c>
      <c r="Q71" s="41" t="str" cm="1">
        <f t="array" ref="Q71">IF($M71="","",_xlfn.LET(_xlpm.area,$O71,_xlpm.cnt,$N71,_xlpm.sizes,'Conduit Tables'!$C$20:$C$26,_xlpm.cap,IF(_xlpm.cnt=1,'Conduit Tables'!$I$20:$I$26,IF(_xlpm.cnt=2,'Conduit Tables'!$K$20:$K$26,'Conduit Tables'!$E$20:$E$26)),_xlfn.XLOOKUP(TRUE,IF(ISNUMBER(_xlpm.cap),_xlpm.cap&gt;=_xlpm.area,FALSE),_xlpm.sizes,"No size")))</f>
        <v/>
      </c>
      <c r="R71" s="41" t="str" cm="1">
        <f t="array" ref="R71">IF($M71="","",_xlfn.LET(_xlpm.area,$O71,_xlpm.cnt,$N71,_xlpm.sizes,'Conduit Tables'!$C$30:$C$38,_xlpm.cap,IF(_xlpm.cnt=1,'Conduit Tables'!$I$30:$I$38,IF(_xlpm.cnt=2,'Conduit Tables'!$K$30:$K$38,'Conduit Tables'!$E$30:$E$38)),_xlfn.XLOOKUP(TRUE,IF(ISNUMBER(_xlpm.cap),_xlpm.cap&gt;=_xlpm.area,FALSE),_xlpm.sizes,"No size")))</f>
        <v/>
      </c>
      <c r="S71" s="41"/>
    </row>
    <row r="72" spans="1:19">
      <c r="A72" t="s">
        <v>272</v>
      </c>
      <c r="E72" t="s">
        <v>217</v>
      </c>
      <c r="F72" t="s">
        <v>257</v>
      </c>
      <c r="G72" t="s">
        <v>193</v>
      </c>
      <c r="H72" t="s">
        <v>343</v>
      </c>
      <c r="I72">
        <v>1</v>
      </c>
      <c r="J72" t="s">
        <v>244</v>
      </c>
      <c r="K72" t="s">
        <v>325</v>
      </c>
      <c r="M72" s="43" t="str" cm="1">
        <f t="array" ref="M72">IFERROR(INDEX(_xlfn._xlws.SORT(_xlfn.UNIQUE(_xlfn._xlws.FILTER(_xlfn.VSTACK(Table3[[Conduit ]],Table3[Conduit Branch]),_xlfn.VSTACK(Table3[[Conduit ]],Table3[Conduit Branch])&lt;&gt;""))),ROWS($M$19:M72)),"")</f>
        <v/>
      </c>
      <c r="N72" s="44" t="str">
        <f>IF($M72="","",COUNTIF(Table3[[Conduit ]],$M72)+COUNTIF(Table3[Conduit Branch],$M72))</f>
        <v/>
      </c>
      <c r="O72" s="45" t="str" cm="1">
        <f t="array" ref="O72">IF($M72="","",_xlfn.LET(_xlpm.item,$M72,_xlpm.diameters,_xlfn.XLOOKUP(Table3[Cable Designation]&amp;"",Table6[Designation]&amp;"",Table6[Nom Diameter],0),SUMPRODUCT(((Table3[[Conduit ]]=_xlpm.item)+(Table3[Conduit Branch]=_xlpm.item))*PI()*(_xlpm.diameters/2)^2)))</f>
        <v/>
      </c>
      <c r="P72" s="41" t="str" cm="1">
        <f t="array" ref="P72">IF($M72="","",_xlfn.LET(_xlpm.area,$O72,_xlpm.cnt,$N72,_xlpm.sizes,'Conduit Tables'!$C$4:$C$16,_xlpm.cap,IF(_xlpm.cnt=1,'Conduit Tables'!$I$4:$I$16,IF(_xlpm.cnt=2,'Conduit Tables'!$K$4:$K$16,'Conduit Tables'!$E$4:$E$16)),_xlfn.XLOOKUP(TRUE,IF(ISNUMBER(_xlpm.cap),_xlpm.cap&gt;=_xlpm.area,FALSE),_xlpm.sizes,"No size")))</f>
        <v/>
      </c>
      <c r="Q72" s="41" t="str" cm="1">
        <f t="array" ref="Q72">IF($M72="","",_xlfn.LET(_xlpm.area,$O72,_xlpm.cnt,$N72,_xlpm.sizes,'Conduit Tables'!$C$20:$C$26,_xlpm.cap,IF(_xlpm.cnt=1,'Conduit Tables'!$I$20:$I$26,IF(_xlpm.cnt=2,'Conduit Tables'!$K$20:$K$26,'Conduit Tables'!$E$20:$E$26)),_xlfn.XLOOKUP(TRUE,IF(ISNUMBER(_xlpm.cap),_xlpm.cap&gt;=_xlpm.area,FALSE),_xlpm.sizes,"No size")))</f>
        <v/>
      </c>
      <c r="R72" s="41" t="str" cm="1">
        <f t="array" ref="R72">IF($M72="","",_xlfn.LET(_xlpm.area,$O72,_xlpm.cnt,$N72,_xlpm.sizes,'Conduit Tables'!$C$30:$C$38,_xlpm.cap,IF(_xlpm.cnt=1,'Conduit Tables'!$I$30:$I$38,IF(_xlpm.cnt=2,'Conduit Tables'!$K$30:$K$38,'Conduit Tables'!$E$30:$E$38)),_xlfn.XLOOKUP(TRUE,IF(ISNUMBER(_xlpm.cap),_xlpm.cap&gt;=_xlpm.area,FALSE),_xlpm.sizes,"No size")))</f>
        <v/>
      </c>
      <c r="S72" s="41"/>
    </row>
    <row r="73" spans="1:19">
      <c r="A73" t="s">
        <v>275</v>
      </c>
      <c r="E73" t="s">
        <v>217</v>
      </c>
      <c r="F73" t="s">
        <v>257</v>
      </c>
      <c r="G73" t="s">
        <v>193</v>
      </c>
      <c r="H73" t="s">
        <v>343</v>
      </c>
      <c r="I73">
        <v>1</v>
      </c>
      <c r="J73" t="s">
        <v>244</v>
      </c>
      <c r="K73" t="s">
        <v>322</v>
      </c>
      <c r="M73" s="43" t="str" cm="1">
        <f t="array" ref="M73">IFERROR(INDEX(_xlfn._xlws.SORT(_xlfn.UNIQUE(_xlfn._xlws.FILTER(_xlfn.VSTACK(Table3[[Conduit ]],Table3[Conduit Branch]),_xlfn.VSTACK(Table3[[Conduit ]],Table3[Conduit Branch])&lt;&gt;""))),ROWS($M$19:M73)),"")</f>
        <v/>
      </c>
      <c r="N73" s="44" t="str">
        <f>IF($M73="","",COUNTIF(Table3[[Conduit ]],$M73)+COUNTIF(Table3[Conduit Branch],$M73))</f>
        <v/>
      </c>
      <c r="O73" s="45" t="str" cm="1">
        <f t="array" ref="O73">IF($M73="","",_xlfn.LET(_xlpm.item,$M73,_xlpm.diameters,_xlfn.XLOOKUP(Table3[Cable Designation]&amp;"",Table6[Designation]&amp;"",Table6[Nom Diameter],0),SUMPRODUCT(((Table3[[Conduit ]]=_xlpm.item)+(Table3[Conduit Branch]=_xlpm.item))*PI()*(_xlpm.diameters/2)^2)))</f>
        <v/>
      </c>
      <c r="P73" s="41" t="str" cm="1">
        <f t="array" ref="P73">IF($M73="","",_xlfn.LET(_xlpm.area,$O73,_xlpm.cnt,$N73,_xlpm.sizes,'Conduit Tables'!$C$4:$C$16,_xlpm.cap,IF(_xlpm.cnt=1,'Conduit Tables'!$I$4:$I$16,IF(_xlpm.cnt=2,'Conduit Tables'!$K$4:$K$16,'Conduit Tables'!$E$4:$E$16)),_xlfn.XLOOKUP(TRUE,IF(ISNUMBER(_xlpm.cap),_xlpm.cap&gt;=_xlpm.area,FALSE),_xlpm.sizes,"No size")))</f>
        <v/>
      </c>
      <c r="Q73" s="41" t="str" cm="1">
        <f t="array" ref="Q73">IF($M73="","",_xlfn.LET(_xlpm.area,$O73,_xlpm.cnt,$N73,_xlpm.sizes,'Conduit Tables'!$C$20:$C$26,_xlpm.cap,IF(_xlpm.cnt=1,'Conduit Tables'!$I$20:$I$26,IF(_xlpm.cnt=2,'Conduit Tables'!$K$20:$K$26,'Conduit Tables'!$E$20:$E$26)),_xlfn.XLOOKUP(TRUE,IF(ISNUMBER(_xlpm.cap),_xlpm.cap&gt;=_xlpm.area,FALSE),_xlpm.sizes,"No size")))</f>
        <v/>
      </c>
      <c r="R73" s="41" t="str" cm="1">
        <f t="array" ref="R73">IF($M73="","",_xlfn.LET(_xlpm.area,$O73,_xlpm.cnt,$N73,_xlpm.sizes,'Conduit Tables'!$C$30:$C$38,_xlpm.cap,IF(_xlpm.cnt=1,'Conduit Tables'!$I$30:$I$38,IF(_xlpm.cnt=2,'Conduit Tables'!$K$30:$K$38,'Conduit Tables'!$E$30:$E$38)),_xlfn.XLOOKUP(TRUE,IF(ISNUMBER(_xlpm.cap),_xlpm.cap&gt;=_xlpm.area,FALSE),_xlpm.sizes,"No size")))</f>
        <v/>
      </c>
      <c r="S73" s="41"/>
    </row>
    <row r="74" spans="1:19">
      <c r="A74" t="s">
        <v>276</v>
      </c>
      <c r="E74" t="s">
        <v>217</v>
      </c>
      <c r="F74" t="s">
        <v>257</v>
      </c>
      <c r="G74" t="s">
        <v>193</v>
      </c>
      <c r="H74" t="s">
        <v>343</v>
      </c>
      <c r="I74">
        <v>1</v>
      </c>
      <c r="J74" t="s">
        <v>244</v>
      </c>
      <c r="K74" t="s">
        <v>322</v>
      </c>
      <c r="M74" s="43" t="str" cm="1">
        <f t="array" ref="M74">IFERROR(INDEX(_xlfn._xlws.SORT(_xlfn.UNIQUE(_xlfn._xlws.FILTER(_xlfn.VSTACK(Table3[[Conduit ]],Table3[Conduit Branch]),_xlfn.VSTACK(Table3[[Conduit ]],Table3[Conduit Branch])&lt;&gt;""))),ROWS($M$19:M74)),"")</f>
        <v/>
      </c>
      <c r="N74" s="44" t="str">
        <f>IF($M74="","",COUNTIF(Table3[[Conduit ]],$M74)+COUNTIF(Table3[Conduit Branch],$M74))</f>
        <v/>
      </c>
      <c r="O74" s="45" t="str" cm="1">
        <f t="array" ref="O74">IF($M74="","",_xlfn.LET(_xlpm.item,$M74,_xlpm.diameters,_xlfn.XLOOKUP(Table3[Cable Designation]&amp;"",Table6[Designation]&amp;"",Table6[Nom Diameter],0),SUMPRODUCT(((Table3[[Conduit ]]=_xlpm.item)+(Table3[Conduit Branch]=_xlpm.item))*PI()*(_xlpm.diameters/2)^2)))</f>
        <v/>
      </c>
      <c r="P74" s="41" t="str" cm="1">
        <f t="array" ref="P74">IF($M74="","",_xlfn.LET(_xlpm.area,$O74,_xlpm.cnt,$N74,_xlpm.sizes,'Conduit Tables'!$C$4:$C$16,_xlpm.cap,IF(_xlpm.cnt=1,'Conduit Tables'!$I$4:$I$16,IF(_xlpm.cnt=2,'Conduit Tables'!$K$4:$K$16,'Conduit Tables'!$E$4:$E$16)),_xlfn.XLOOKUP(TRUE,IF(ISNUMBER(_xlpm.cap),_xlpm.cap&gt;=_xlpm.area,FALSE),_xlpm.sizes,"No size")))</f>
        <v/>
      </c>
      <c r="Q74" s="41" t="str" cm="1">
        <f t="array" ref="Q74">IF($M74="","",_xlfn.LET(_xlpm.area,$O74,_xlpm.cnt,$N74,_xlpm.sizes,'Conduit Tables'!$C$20:$C$26,_xlpm.cap,IF(_xlpm.cnt=1,'Conduit Tables'!$I$20:$I$26,IF(_xlpm.cnt=2,'Conduit Tables'!$K$20:$K$26,'Conduit Tables'!$E$20:$E$26)),_xlfn.XLOOKUP(TRUE,IF(ISNUMBER(_xlpm.cap),_xlpm.cap&gt;=_xlpm.area,FALSE),_xlpm.sizes,"No size")))</f>
        <v/>
      </c>
      <c r="R74" s="41" t="str" cm="1">
        <f t="array" ref="R74">IF($M74="","",_xlfn.LET(_xlpm.area,$O74,_xlpm.cnt,$N74,_xlpm.sizes,'Conduit Tables'!$C$30:$C$38,_xlpm.cap,IF(_xlpm.cnt=1,'Conduit Tables'!$I$30:$I$38,IF(_xlpm.cnt=2,'Conduit Tables'!$K$30:$K$38,'Conduit Tables'!$E$30:$E$38)),_xlfn.XLOOKUP(TRUE,IF(ISNUMBER(_xlpm.cap),_xlpm.cap&gt;=_xlpm.area,FALSE),_xlpm.sizes,"No size")))</f>
        <v/>
      </c>
      <c r="S74" s="41"/>
    </row>
    <row r="75" spans="1:19">
      <c r="A75" t="s">
        <v>283</v>
      </c>
      <c r="E75" t="s">
        <v>217</v>
      </c>
      <c r="F75" t="s">
        <v>257</v>
      </c>
      <c r="G75" t="s">
        <v>193</v>
      </c>
      <c r="H75" t="s">
        <v>343</v>
      </c>
      <c r="I75">
        <v>1</v>
      </c>
      <c r="J75" t="s">
        <v>244</v>
      </c>
      <c r="K75" t="s">
        <v>326</v>
      </c>
      <c r="M75" s="43" t="str" cm="1">
        <f t="array" ref="M75">IFERROR(INDEX(_xlfn._xlws.SORT(_xlfn.UNIQUE(_xlfn._xlws.FILTER(_xlfn.VSTACK(Table3[[Conduit ]],Table3[Conduit Branch]),_xlfn.VSTACK(Table3[[Conduit ]],Table3[Conduit Branch])&lt;&gt;""))),ROWS($M$19:M75)),"")</f>
        <v/>
      </c>
      <c r="N75" s="44" t="str">
        <f>IF($M75="","",COUNTIF(Table3[[Conduit ]],$M75)+COUNTIF(Table3[Conduit Branch],$M75))</f>
        <v/>
      </c>
      <c r="O75" s="45" t="str" cm="1">
        <f t="array" ref="O75">IF($M75="","",_xlfn.LET(_xlpm.item,$M75,_xlpm.diameters,_xlfn.XLOOKUP(Table3[Cable Designation]&amp;"",Table6[Designation]&amp;"",Table6[Nom Diameter],0),SUMPRODUCT(((Table3[[Conduit ]]=_xlpm.item)+(Table3[Conduit Branch]=_xlpm.item))*PI()*(_xlpm.diameters/2)^2)))</f>
        <v/>
      </c>
      <c r="P75" s="41" t="str" cm="1">
        <f t="array" ref="P75">IF($M75="","",_xlfn.LET(_xlpm.area,$O75,_xlpm.cnt,$N75,_xlpm.sizes,'Conduit Tables'!$C$4:$C$16,_xlpm.cap,IF(_xlpm.cnt=1,'Conduit Tables'!$I$4:$I$16,IF(_xlpm.cnt=2,'Conduit Tables'!$K$4:$K$16,'Conduit Tables'!$E$4:$E$16)),_xlfn.XLOOKUP(TRUE,IF(ISNUMBER(_xlpm.cap),_xlpm.cap&gt;=_xlpm.area,FALSE),_xlpm.sizes,"No size")))</f>
        <v/>
      </c>
      <c r="Q75" s="41" t="str" cm="1">
        <f t="array" ref="Q75">IF($M75="","",_xlfn.LET(_xlpm.area,$O75,_xlpm.cnt,$N75,_xlpm.sizes,'Conduit Tables'!$C$20:$C$26,_xlpm.cap,IF(_xlpm.cnt=1,'Conduit Tables'!$I$20:$I$26,IF(_xlpm.cnt=2,'Conduit Tables'!$K$20:$K$26,'Conduit Tables'!$E$20:$E$26)),_xlfn.XLOOKUP(TRUE,IF(ISNUMBER(_xlpm.cap),_xlpm.cap&gt;=_xlpm.area,FALSE),_xlpm.sizes,"No size")))</f>
        <v/>
      </c>
      <c r="R75" s="41" t="str" cm="1">
        <f t="array" ref="R75">IF($M75="","",_xlfn.LET(_xlpm.area,$O75,_xlpm.cnt,$N75,_xlpm.sizes,'Conduit Tables'!$C$30:$C$38,_xlpm.cap,IF(_xlpm.cnt=1,'Conduit Tables'!$I$30:$I$38,IF(_xlpm.cnt=2,'Conduit Tables'!$K$30:$K$38,'Conduit Tables'!$E$30:$E$38)),_xlfn.XLOOKUP(TRUE,IF(ISNUMBER(_xlpm.cap),_xlpm.cap&gt;=_xlpm.area,FALSE),_xlpm.sizes,"No size")))</f>
        <v/>
      </c>
      <c r="S75" s="41"/>
    </row>
    <row r="76" spans="1:19">
      <c r="A76" t="s">
        <v>287</v>
      </c>
      <c r="E76" t="s">
        <v>217</v>
      </c>
      <c r="F76" t="s">
        <v>257</v>
      </c>
      <c r="G76" t="s">
        <v>193</v>
      </c>
      <c r="H76" t="s">
        <v>343</v>
      </c>
      <c r="I76">
        <v>1</v>
      </c>
      <c r="J76" t="s">
        <v>244</v>
      </c>
      <c r="K76" t="s">
        <v>327</v>
      </c>
      <c r="M76" s="43" t="str" cm="1">
        <f t="array" ref="M76">IFERROR(INDEX(_xlfn._xlws.SORT(_xlfn.UNIQUE(_xlfn._xlws.FILTER(_xlfn.VSTACK(Table3[[Conduit ]],Table3[Conduit Branch]),_xlfn.VSTACK(Table3[[Conduit ]],Table3[Conduit Branch])&lt;&gt;""))),ROWS($M$19:M76)),"")</f>
        <v/>
      </c>
      <c r="N76" s="44" t="str">
        <f>IF($M76="","",COUNTIF(Table3[[Conduit ]],$M76)+COUNTIF(Table3[Conduit Branch],$M76))</f>
        <v/>
      </c>
      <c r="O76" s="45" t="str" cm="1">
        <f t="array" ref="O76">IF($M76="","",_xlfn.LET(_xlpm.item,$M76,_xlpm.diameters,_xlfn.XLOOKUP(Table3[Cable Designation]&amp;"",Table6[Designation]&amp;"",Table6[Nom Diameter],0),SUMPRODUCT(((Table3[[Conduit ]]=_xlpm.item)+(Table3[Conduit Branch]=_xlpm.item))*PI()*(_xlpm.diameters/2)^2)))</f>
        <v/>
      </c>
      <c r="P76" s="41" t="str" cm="1">
        <f t="array" ref="P76">IF($M76="","",_xlfn.LET(_xlpm.area,$O76,_xlpm.cnt,$N76,_xlpm.sizes,'Conduit Tables'!$C$4:$C$16,_xlpm.cap,IF(_xlpm.cnt=1,'Conduit Tables'!$I$4:$I$16,IF(_xlpm.cnt=2,'Conduit Tables'!$K$4:$K$16,'Conduit Tables'!$E$4:$E$16)),_xlfn.XLOOKUP(TRUE,IF(ISNUMBER(_xlpm.cap),_xlpm.cap&gt;=_xlpm.area,FALSE),_xlpm.sizes,"No size")))</f>
        <v/>
      </c>
      <c r="Q76" s="41" t="str" cm="1">
        <f t="array" ref="Q76">IF($M76="","",_xlfn.LET(_xlpm.area,$O76,_xlpm.cnt,$N76,_xlpm.sizes,'Conduit Tables'!$C$20:$C$26,_xlpm.cap,IF(_xlpm.cnt=1,'Conduit Tables'!$I$20:$I$26,IF(_xlpm.cnt=2,'Conduit Tables'!$K$20:$K$26,'Conduit Tables'!$E$20:$E$26)),_xlfn.XLOOKUP(TRUE,IF(ISNUMBER(_xlpm.cap),_xlpm.cap&gt;=_xlpm.area,FALSE),_xlpm.sizes,"No size")))</f>
        <v/>
      </c>
      <c r="R76" s="41" t="str" cm="1">
        <f t="array" ref="R76">IF($M76="","",_xlfn.LET(_xlpm.area,$O76,_xlpm.cnt,$N76,_xlpm.sizes,'Conduit Tables'!$C$30:$C$38,_xlpm.cap,IF(_xlpm.cnt=1,'Conduit Tables'!$I$30:$I$38,IF(_xlpm.cnt=2,'Conduit Tables'!$K$30:$K$38,'Conduit Tables'!$E$30:$E$38)),_xlfn.XLOOKUP(TRUE,IF(ISNUMBER(_xlpm.cap),_xlpm.cap&gt;=_xlpm.area,FALSE),_xlpm.sizes,"No size")))</f>
        <v/>
      </c>
      <c r="S76" s="41"/>
    </row>
    <row r="77" spans="1:19">
      <c r="A77" t="s">
        <v>288</v>
      </c>
      <c r="E77" t="s">
        <v>217</v>
      </c>
      <c r="F77" t="s">
        <v>257</v>
      </c>
      <c r="G77" t="s">
        <v>193</v>
      </c>
      <c r="H77" t="s">
        <v>343</v>
      </c>
      <c r="I77">
        <v>1</v>
      </c>
      <c r="J77" t="s">
        <v>244</v>
      </c>
      <c r="K77" t="s">
        <v>325</v>
      </c>
      <c r="M77" s="43" t="str" cm="1">
        <f t="array" ref="M77">IFERROR(INDEX(_xlfn._xlws.SORT(_xlfn.UNIQUE(_xlfn._xlws.FILTER(_xlfn.VSTACK(Table3[[Conduit ]],Table3[Conduit Branch]),_xlfn.VSTACK(Table3[[Conduit ]],Table3[Conduit Branch])&lt;&gt;""))),ROWS($M$19:M77)),"")</f>
        <v/>
      </c>
      <c r="N77" s="44" t="str">
        <f>IF($M77="","",COUNTIF(Table3[[Conduit ]],$M77)+COUNTIF(Table3[Conduit Branch],$M77))</f>
        <v/>
      </c>
      <c r="O77" s="45" t="str" cm="1">
        <f t="array" ref="O77">IF($M77="","",_xlfn.LET(_xlpm.item,$M77,_xlpm.diameters,_xlfn.XLOOKUP(Table3[Cable Designation]&amp;"",Table6[Designation]&amp;"",Table6[Nom Diameter],0),SUMPRODUCT(((Table3[[Conduit ]]=_xlpm.item)+(Table3[Conduit Branch]=_xlpm.item))*PI()*(_xlpm.diameters/2)^2)))</f>
        <v/>
      </c>
      <c r="P77" s="41" t="str" cm="1">
        <f t="array" ref="P77">IF($M77="","",_xlfn.LET(_xlpm.area,$O77,_xlpm.cnt,$N77,_xlpm.sizes,'Conduit Tables'!$C$4:$C$16,_xlpm.cap,IF(_xlpm.cnt=1,'Conduit Tables'!$I$4:$I$16,IF(_xlpm.cnt=2,'Conduit Tables'!$K$4:$K$16,'Conduit Tables'!$E$4:$E$16)),_xlfn.XLOOKUP(TRUE,IF(ISNUMBER(_xlpm.cap),_xlpm.cap&gt;=_xlpm.area,FALSE),_xlpm.sizes,"No size")))</f>
        <v/>
      </c>
      <c r="Q77" s="41" t="str" cm="1">
        <f t="array" ref="Q77">IF($M77="","",_xlfn.LET(_xlpm.area,$O77,_xlpm.cnt,$N77,_xlpm.sizes,'Conduit Tables'!$C$20:$C$26,_xlpm.cap,IF(_xlpm.cnt=1,'Conduit Tables'!$I$20:$I$26,IF(_xlpm.cnt=2,'Conduit Tables'!$K$20:$K$26,'Conduit Tables'!$E$20:$E$26)),_xlfn.XLOOKUP(TRUE,IF(ISNUMBER(_xlpm.cap),_xlpm.cap&gt;=_xlpm.area,FALSE),_xlpm.sizes,"No size")))</f>
        <v/>
      </c>
      <c r="R77" s="41" t="str" cm="1">
        <f t="array" ref="R77">IF($M77="","",_xlfn.LET(_xlpm.area,$O77,_xlpm.cnt,$N77,_xlpm.sizes,'Conduit Tables'!$C$30:$C$38,_xlpm.cap,IF(_xlpm.cnt=1,'Conduit Tables'!$I$30:$I$38,IF(_xlpm.cnt=2,'Conduit Tables'!$K$30:$K$38,'Conduit Tables'!$E$30:$E$38)),_xlfn.XLOOKUP(TRUE,IF(ISNUMBER(_xlpm.cap),_xlpm.cap&gt;=_xlpm.area,FALSE),_xlpm.sizes,"No size")))</f>
        <v/>
      </c>
      <c r="S77" s="41"/>
    </row>
    <row r="78" spans="1:19">
      <c r="A78" t="s">
        <v>260</v>
      </c>
      <c r="E78" t="s">
        <v>217</v>
      </c>
      <c r="F78" t="s">
        <v>261</v>
      </c>
      <c r="G78" t="s">
        <v>192</v>
      </c>
      <c r="H78" t="s">
        <v>339</v>
      </c>
      <c r="I78">
        <v>2</v>
      </c>
      <c r="M78" s="43" t="str" cm="1">
        <f t="array" ref="M78">IFERROR(INDEX(_xlfn._xlws.SORT(_xlfn.UNIQUE(_xlfn._xlws.FILTER(_xlfn.VSTACK(Table3[[Conduit ]],Table3[Conduit Branch]),_xlfn.VSTACK(Table3[[Conduit ]],Table3[Conduit Branch])&lt;&gt;""))),ROWS($M$19:M78)),"")</f>
        <v/>
      </c>
      <c r="N78" s="44" t="str">
        <f>IF($M78="","",COUNTIF(Table3[[Conduit ]],$M78)+COUNTIF(Table3[Conduit Branch],$M78))</f>
        <v/>
      </c>
      <c r="O78" s="45" t="str" cm="1">
        <f t="array" ref="O78">IF($M78="","",_xlfn.LET(_xlpm.item,$M78,_xlpm.diameters,_xlfn.XLOOKUP(Table3[Cable Designation]&amp;"",Table6[Designation]&amp;"",Table6[Nom Diameter],0),SUMPRODUCT(((Table3[[Conduit ]]=_xlpm.item)+(Table3[Conduit Branch]=_xlpm.item))*PI()*(_xlpm.diameters/2)^2)))</f>
        <v/>
      </c>
      <c r="P78" s="41" t="str" cm="1">
        <f t="array" ref="P78">IF($M78="","",_xlfn.LET(_xlpm.area,$O78,_xlpm.cnt,$N78,_xlpm.sizes,'Conduit Tables'!$C$4:$C$16,_xlpm.cap,IF(_xlpm.cnt=1,'Conduit Tables'!$I$4:$I$16,IF(_xlpm.cnt=2,'Conduit Tables'!$K$4:$K$16,'Conduit Tables'!$E$4:$E$16)),_xlfn.XLOOKUP(TRUE,IF(ISNUMBER(_xlpm.cap),_xlpm.cap&gt;=_xlpm.area,FALSE),_xlpm.sizes,"No size")))</f>
        <v/>
      </c>
      <c r="Q78" s="41" t="str" cm="1">
        <f t="array" ref="Q78">IF($M78="","",_xlfn.LET(_xlpm.area,$O78,_xlpm.cnt,$N78,_xlpm.sizes,'Conduit Tables'!$C$20:$C$26,_xlpm.cap,IF(_xlpm.cnt=1,'Conduit Tables'!$I$20:$I$26,IF(_xlpm.cnt=2,'Conduit Tables'!$K$20:$K$26,'Conduit Tables'!$E$20:$E$26)),_xlfn.XLOOKUP(TRUE,IF(ISNUMBER(_xlpm.cap),_xlpm.cap&gt;=_xlpm.area,FALSE),_xlpm.sizes,"No size")))</f>
        <v/>
      </c>
      <c r="R78" s="41" t="str" cm="1">
        <f t="array" ref="R78">IF($M78="","",_xlfn.LET(_xlpm.area,$O78,_xlpm.cnt,$N78,_xlpm.sizes,'Conduit Tables'!$C$30:$C$38,_xlpm.cap,IF(_xlpm.cnt=1,'Conduit Tables'!$I$30:$I$38,IF(_xlpm.cnt=2,'Conduit Tables'!$K$30:$K$38,'Conduit Tables'!$E$30:$E$38)),_xlfn.XLOOKUP(TRUE,IF(ISNUMBER(_xlpm.cap),_xlpm.cap&gt;=_xlpm.area,FALSE),_xlpm.sizes,"No size")))</f>
        <v/>
      </c>
      <c r="S78" s="41"/>
    </row>
    <row r="79" spans="1:19">
      <c r="A79" t="s">
        <v>303</v>
      </c>
      <c r="G79" t="s">
        <v>192</v>
      </c>
      <c r="H79" t="s">
        <v>347</v>
      </c>
      <c r="I79">
        <v>2</v>
      </c>
      <c r="J79" t="s">
        <v>301</v>
      </c>
      <c r="K79" t="s">
        <v>328</v>
      </c>
      <c r="M79" s="43" t="str" cm="1">
        <f t="array" ref="M79">IFERROR(INDEX(_xlfn._xlws.SORT(_xlfn.UNIQUE(_xlfn._xlws.FILTER(_xlfn.VSTACK(Table3[[Conduit ]],Table3[Conduit Branch]),_xlfn.VSTACK(Table3[[Conduit ]],Table3[Conduit Branch])&lt;&gt;""))),ROWS($M$19:M79)),"")</f>
        <v/>
      </c>
      <c r="N79" s="44" t="str">
        <f>IF($M79="","",COUNTIF(Table3[[Conduit ]],$M79)+COUNTIF(Table3[Conduit Branch],$M79))</f>
        <v/>
      </c>
      <c r="O79" s="45" t="str" cm="1">
        <f t="array" ref="O79">IF($M79="","",_xlfn.LET(_xlpm.item,$M79,_xlpm.diameters,_xlfn.XLOOKUP(Table3[Cable Designation]&amp;"",Table6[Designation]&amp;"",Table6[Nom Diameter],0),SUMPRODUCT(((Table3[[Conduit ]]=_xlpm.item)+(Table3[Conduit Branch]=_xlpm.item))*PI()*(_xlpm.diameters/2)^2)))</f>
        <v/>
      </c>
      <c r="P79" s="41" t="str" cm="1">
        <f t="array" ref="P79">IF($M79="","",_xlfn.LET(_xlpm.area,$O79,_xlpm.cnt,$N79,_xlpm.sizes,'Conduit Tables'!$C$4:$C$16,_xlpm.cap,IF(_xlpm.cnt=1,'Conduit Tables'!$I$4:$I$16,IF(_xlpm.cnt=2,'Conduit Tables'!$K$4:$K$16,'Conduit Tables'!$E$4:$E$16)),_xlfn.XLOOKUP(TRUE,IF(ISNUMBER(_xlpm.cap),_xlpm.cap&gt;=_xlpm.area,FALSE),_xlpm.sizes,"No size")))</f>
        <v/>
      </c>
      <c r="Q79" s="41" t="str" cm="1">
        <f t="array" ref="Q79">IF($M79="","",_xlfn.LET(_xlpm.area,$O79,_xlpm.cnt,$N79,_xlpm.sizes,'Conduit Tables'!$C$20:$C$26,_xlpm.cap,IF(_xlpm.cnt=1,'Conduit Tables'!$I$20:$I$26,IF(_xlpm.cnt=2,'Conduit Tables'!$K$20:$K$26,'Conduit Tables'!$E$20:$E$26)),_xlfn.XLOOKUP(TRUE,IF(ISNUMBER(_xlpm.cap),_xlpm.cap&gt;=_xlpm.area,FALSE),_xlpm.sizes,"No size")))</f>
        <v/>
      </c>
      <c r="R79" s="41" t="str" cm="1">
        <f t="array" ref="R79">IF($M79="","",_xlfn.LET(_xlpm.area,$O79,_xlpm.cnt,$N79,_xlpm.sizes,'Conduit Tables'!$C$30:$C$38,_xlpm.cap,IF(_xlpm.cnt=1,'Conduit Tables'!$I$30:$I$38,IF(_xlpm.cnt=2,'Conduit Tables'!$K$30:$K$38,'Conduit Tables'!$E$30:$E$38)),_xlfn.XLOOKUP(TRUE,IF(ISNUMBER(_xlpm.cap),_xlpm.cap&gt;=_xlpm.area,FALSE),_xlpm.sizes,"No size")))</f>
        <v/>
      </c>
      <c r="S79" s="41"/>
    </row>
    <row r="80" spans="1:19">
      <c r="A80" t="s">
        <v>304</v>
      </c>
      <c r="G80" t="s">
        <v>192</v>
      </c>
      <c r="H80" t="s">
        <v>347</v>
      </c>
      <c r="I80">
        <v>2</v>
      </c>
      <c r="J80" t="s">
        <v>301</v>
      </c>
      <c r="K80" t="s">
        <v>323</v>
      </c>
      <c r="M80" s="43" t="str" cm="1">
        <f t="array" ref="M80">IFERROR(INDEX(_xlfn._xlws.SORT(_xlfn.UNIQUE(_xlfn._xlws.FILTER(_xlfn.VSTACK(Table3[[Conduit ]],Table3[Conduit Branch]),_xlfn.VSTACK(Table3[[Conduit ]],Table3[Conduit Branch])&lt;&gt;""))),ROWS($M$19:M80)),"")</f>
        <v/>
      </c>
      <c r="N80" s="44" t="str">
        <f>IF($M80="","",COUNTIF(Table3[[Conduit ]],$M80)+COUNTIF(Table3[Conduit Branch],$M80))</f>
        <v/>
      </c>
      <c r="O80" s="45" t="str" cm="1">
        <f t="array" ref="O80">IF($M80="","",_xlfn.LET(_xlpm.item,$M80,_xlpm.diameters,_xlfn.XLOOKUP(Table3[Cable Designation]&amp;"",Table6[Designation]&amp;"",Table6[Nom Diameter],0),SUMPRODUCT(((Table3[[Conduit ]]=_xlpm.item)+(Table3[Conduit Branch]=_xlpm.item))*PI()*(_xlpm.diameters/2)^2)))</f>
        <v/>
      </c>
      <c r="P80" s="41" t="str" cm="1">
        <f t="array" ref="P80">IF($M80="","",_xlfn.LET(_xlpm.area,$O80,_xlpm.cnt,$N80,_xlpm.sizes,'Conduit Tables'!$C$4:$C$16,_xlpm.cap,IF(_xlpm.cnt=1,'Conduit Tables'!$I$4:$I$16,IF(_xlpm.cnt=2,'Conduit Tables'!$K$4:$K$16,'Conduit Tables'!$E$4:$E$16)),_xlfn.XLOOKUP(TRUE,IF(ISNUMBER(_xlpm.cap),_xlpm.cap&gt;=_xlpm.area,FALSE),_xlpm.sizes,"No size")))</f>
        <v/>
      </c>
      <c r="Q80" s="41" t="str" cm="1">
        <f t="array" ref="Q80">IF($M80="","",_xlfn.LET(_xlpm.area,$O80,_xlpm.cnt,$N80,_xlpm.sizes,'Conduit Tables'!$C$20:$C$26,_xlpm.cap,IF(_xlpm.cnt=1,'Conduit Tables'!$I$20:$I$26,IF(_xlpm.cnt=2,'Conduit Tables'!$K$20:$K$26,'Conduit Tables'!$E$20:$E$26)),_xlfn.XLOOKUP(TRUE,IF(ISNUMBER(_xlpm.cap),_xlpm.cap&gt;=_xlpm.area,FALSE),_xlpm.sizes,"No size")))</f>
        <v/>
      </c>
      <c r="R80" s="41" t="str" cm="1">
        <f t="array" ref="R80">IF($M80="","",_xlfn.LET(_xlpm.area,$O80,_xlpm.cnt,$N80,_xlpm.sizes,'Conduit Tables'!$C$30:$C$38,_xlpm.cap,IF(_xlpm.cnt=1,'Conduit Tables'!$I$30:$I$38,IF(_xlpm.cnt=2,'Conduit Tables'!$K$30:$K$38,'Conduit Tables'!$E$30:$E$38)),_xlfn.XLOOKUP(TRUE,IF(ISNUMBER(_xlpm.cap),_xlpm.cap&gt;=_xlpm.area,FALSE),_xlpm.sizes,"No size")))</f>
        <v/>
      </c>
      <c r="S80" s="41"/>
    </row>
    <row r="81" spans="13:19">
      <c r="M81" s="43" t="str" cm="1">
        <f t="array" ref="M81">IFERROR(INDEX(_xlfn._xlws.SORT(_xlfn.UNIQUE(_xlfn._xlws.FILTER(_xlfn.VSTACK(Table3[[Conduit ]],Table3[Conduit Branch]),_xlfn.VSTACK(Table3[[Conduit ]],Table3[Conduit Branch])&lt;&gt;""))),ROWS($M$19:M81)),"")</f>
        <v/>
      </c>
      <c r="N81" s="44" t="str">
        <f>IF($M81="","",COUNTIF(Table3[[Conduit ]],$M81)+COUNTIF(Table3[Conduit Branch],$M81))</f>
        <v/>
      </c>
      <c r="O81" s="45" t="str" cm="1">
        <f t="array" ref="O81">IF($M81="","",_xlfn.LET(_xlpm.item,$M81,_xlpm.diameters,_xlfn.XLOOKUP(Table3[Cable Designation]&amp;"",Table6[Designation]&amp;"",Table6[Nom Diameter],0),SUMPRODUCT(((Table3[[Conduit ]]=_xlpm.item)+(Table3[Conduit Branch]=_xlpm.item))*PI()*(_xlpm.diameters/2)^2)))</f>
        <v/>
      </c>
      <c r="P81" s="41" t="str" cm="1">
        <f t="array" ref="P81">IF($M81="","",_xlfn.LET(_xlpm.area,$O81,_xlpm.cnt,$N81,_xlpm.sizes,'Conduit Tables'!$C$4:$C$16,_xlpm.cap,IF(_xlpm.cnt=1,'Conduit Tables'!$I$4:$I$16,IF(_xlpm.cnt=2,'Conduit Tables'!$K$4:$K$16,'Conduit Tables'!$E$4:$E$16)),_xlfn.XLOOKUP(TRUE,IF(ISNUMBER(_xlpm.cap),_xlpm.cap&gt;=_xlpm.area,FALSE),_xlpm.sizes,"No size")))</f>
        <v/>
      </c>
      <c r="Q81" s="41" t="str" cm="1">
        <f t="array" ref="Q81">IF($M81="","",_xlfn.LET(_xlpm.area,$O81,_xlpm.cnt,$N81,_xlpm.sizes,'Conduit Tables'!$C$20:$C$26,_xlpm.cap,IF(_xlpm.cnt=1,'Conduit Tables'!$I$20:$I$26,IF(_xlpm.cnt=2,'Conduit Tables'!$K$20:$K$26,'Conduit Tables'!$E$20:$E$26)),_xlfn.XLOOKUP(TRUE,IF(ISNUMBER(_xlpm.cap),_xlpm.cap&gt;=_xlpm.area,FALSE),_xlpm.sizes,"No size")))</f>
        <v/>
      </c>
      <c r="R81" s="41" t="str" cm="1">
        <f t="array" ref="R81">IF($M81="","",_xlfn.LET(_xlpm.area,$O81,_xlpm.cnt,$N81,_xlpm.sizes,'Conduit Tables'!$C$30:$C$38,_xlpm.cap,IF(_xlpm.cnt=1,'Conduit Tables'!$I$30:$I$38,IF(_xlpm.cnt=2,'Conduit Tables'!$K$30:$K$38,'Conduit Tables'!$E$30:$E$38)),_xlfn.XLOOKUP(TRUE,IF(ISNUMBER(_xlpm.cap),_xlpm.cap&gt;=_xlpm.area,FALSE),_xlpm.sizes,"No size")))</f>
        <v/>
      </c>
      <c r="S81" s="41"/>
    </row>
    <row r="82" spans="13:19">
      <c r="M82" s="43" t="str" cm="1">
        <f t="array" ref="M82">IFERROR(INDEX(_xlfn._xlws.SORT(_xlfn.UNIQUE(_xlfn._xlws.FILTER(_xlfn.VSTACK(Table3[[Conduit ]],Table3[Conduit Branch]),_xlfn.VSTACK(Table3[[Conduit ]],Table3[Conduit Branch])&lt;&gt;""))),ROWS($M$19:M82)),"")</f>
        <v/>
      </c>
      <c r="N82" s="44" t="str">
        <f>IF($M82="","",COUNTIF(Table3[[Conduit ]],$M82)+COUNTIF(Table3[Conduit Branch],$M82))</f>
        <v/>
      </c>
      <c r="O82" s="45" t="str" cm="1">
        <f t="array" ref="O82">IF($M82="","",_xlfn.LET(_xlpm.item,$M82,_xlpm.diameters,_xlfn.XLOOKUP(Table3[Cable Designation]&amp;"",Table6[Designation]&amp;"",Table6[Nom Diameter],0),SUMPRODUCT(((Table3[[Conduit ]]=_xlpm.item)+(Table3[Conduit Branch]=_xlpm.item))*PI()*(_xlpm.diameters/2)^2)))</f>
        <v/>
      </c>
      <c r="P82" s="41" t="str" cm="1">
        <f t="array" ref="P82">IF($M82="","",_xlfn.LET(_xlpm.area,$O82,_xlpm.cnt,$N82,_xlpm.sizes,'Conduit Tables'!$C$4:$C$16,_xlpm.cap,IF(_xlpm.cnt=1,'Conduit Tables'!$I$4:$I$16,IF(_xlpm.cnt=2,'Conduit Tables'!$K$4:$K$16,'Conduit Tables'!$E$4:$E$16)),_xlfn.XLOOKUP(TRUE,IF(ISNUMBER(_xlpm.cap),_xlpm.cap&gt;=_xlpm.area,FALSE),_xlpm.sizes,"No size")))</f>
        <v/>
      </c>
      <c r="Q82" s="41" t="str" cm="1">
        <f t="array" ref="Q82">IF($M82="","",_xlfn.LET(_xlpm.area,$O82,_xlpm.cnt,$N82,_xlpm.sizes,'Conduit Tables'!$C$20:$C$26,_xlpm.cap,IF(_xlpm.cnt=1,'Conduit Tables'!$I$20:$I$26,IF(_xlpm.cnt=2,'Conduit Tables'!$K$20:$K$26,'Conduit Tables'!$E$20:$E$26)),_xlfn.XLOOKUP(TRUE,IF(ISNUMBER(_xlpm.cap),_xlpm.cap&gt;=_xlpm.area,FALSE),_xlpm.sizes,"No size")))</f>
        <v/>
      </c>
      <c r="R82" s="41" t="str" cm="1">
        <f t="array" ref="R82">IF($M82="","",_xlfn.LET(_xlpm.area,$O82,_xlpm.cnt,$N82,_xlpm.sizes,'Conduit Tables'!$C$30:$C$38,_xlpm.cap,IF(_xlpm.cnt=1,'Conduit Tables'!$I$30:$I$38,IF(_xlpm.cnt=2,'Conduit Tables'!$K$30:$K$38,'Conduit Tables'!$E$30:$E$38)),_xlfn.XLOOKUP(TRUE,IF(ISNUMBER(_xlpm.cap),_xlpm.cap&gt;=_xlpm.area,FALSE),_xlpm.sizes,"No size")))</f>
        <v/>
      </c>
      <c r="S82" s="41"/>
    </row>
  </sheetData>
  <sortState xmlns:xlrd2="http://schemas.microsoft.com/office/spreadsheetml/2017/richdata2" ref="M27:M48">
    <sortCondition ref="M27:M48"/>
  </sortState>
  <mergeCells count="3">
    <mergeCell ref="M2:T2"/>
    <mergeCell ref="P25:R25"/>
    <mergeCell ref="A1:K1"/>
  </mergeCells>
  <phoneticPr fontId="10" type="noConversion"/>
  <conditionalFormatting sqref="J52:J1048576 J2:J5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0"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9E9E5-1527-4A83-85DF-A2F594EACEEA}">
  <dimension ref="A2:AJ34"/>
  <sheetViews>
    <sheetView topLeftCell="P1" workbookViewId="0">
      <selection activeCell="T30" sqref="T30"/>
    </sheetView>
  </sheetViews>
  <sheetFormatPr defaultRowHeight="15"/>
  <cols>
    <col min="8" max="8" width="17.42578125" customWidth="1"/>
    <col min="9" max="9" width="45.85546875" customWidth="1"/>
    <col min="11" max="11" width="12" customWidth="1"/>
    <col min="19" max="21" width="26.7109375" customWidth="1"/>
    <col min="23" max="26" width="11.42578125" bestFit="1" customWidth="1"/>
    <col min="30" max="30" width="16.85546875" bestFit="1" customWidth="1"/>
    <col min="31" max="33" width="11" bestFit="1" customWidth="1"/>
    <col min="34" max="36" width="14" bestFit="1" customWidth="1"/>
  </cols>
  <sheetData>
    <row r="2" spans="1:36" ht="15.75" thickBot="1">
      <c r="B2" s="181" t="s">
        <v>41</v>
      </c>
      <c r="C2" s="181"/>
      <c r="D2" s="181"/>
      <c r="E2" s="181"/>
      <c r="F2" s="181"/>
      <c r="H2" s="182" t="s">
        <v>49</v>
      </c>
      <c r="I2" s="182"/>
      <c r="K2" s="173" t="s">
        <v>183</v>
      </c>
      <c r="L2" s="173"/>
      <c r="M2" s="173"/>
      <c r="N2" s="173"/>
      <c r="O2" s="173"/>
      <c r="P2" s="173"/>
      <c r="Q2" s="173"/>
      <c r="S2" s="176" t="s">
        <v>166</v>
      </c>
      <c r="T2" s="176"/>
      <c r="U2" s="176"/>
      <c r="W2" s="176" t="s">
        <v>177</v>
      </c>
      <c r="X2" s="176"/>
      <c r="Y2" s="176"/>
      <c r="Z2" s="176"/>
      <c r="AA2" s="176"/>
      <c r="AB2" s="176"/>
      <c r="AD2" s="173" t="s">
        <v>184</v>
      </c>
      <c r="AE2" s="173"/>
      <c r="AF2" s="173"/>
      <c r="AG2" s="173"/>
      <c r="AH2" s="173"/>
      <c r="AI2" s="173"/>
      <c r="AJ2" s="173"/>
    </row>
    <row r="3" spans="1:36" ht="36.75" customHeight="1" thickBot="1">
      <c r="A3" s="9"/>
      <c r="B3" s="1" t="s">
        <v>1</v>
      </c>
      <c r="C3" s="178" t="s">
        <v>3</v>
      </c>
      <c r="D3" s="179"/>
      <c r="E3" s="180"/>
      <c r="F3" s="3" t="s">
        <v>1</v>
      </c>
      <c r="G3" s="8"/>
      <c r="H3" s="12" t="s">
        <v>49</v>
      </c>
      <c r="I3" s="10" t="s">
        <v>42</v>
      </c>
      <c r="K3" s="17" t="s">
        <v>55</v>
      </c>
      <c r="L3" s="175" t="s">
        <v>56</v>
      </c>
      <c r="M3" s="175"/>
      <c r="N3" s="175"/>
      <c r="O3" s="175" t="s">
        <v>57</v>
      </c>
      <c r="P3" s="175"/>
      <c r="Q3" s="175"/>
      <c r="S3" s="36" t="s">
        <v>163</v>
      </c>
      <c r="T3" s="36" t="s">
        <v>164</v>
      </c>
      <c r="U3" s="36" t="s">
        <v>165</v>
      </c>
      <c r="W3" s="37" t="s">
        <v>167</v>
      </c>
      <c r="X3" s="37" t="s">
        <v>168</v>
      </c>
      <c r="Y3" s="37" t="s">
        <v>169</v>
      </c>
      <c r="Z3" s="37" t="s">
        <v>170</v>
      </c>
      <c r="AA3" s="37" t="s">
        <v>171</v>
      </c>
      <c r="AB3" s="37" t="s">
        <v>172</v>
      </c>
      <c r="AD3" s="17" t="s">
        <v>55</v>
      </c>
      <c r="AE3" s="175" t="s">
        <v>56</v>
      </c>
      <c r="AF3" s="175"/>
      <c r="AG3" s="175"/>
      <c r="AH3" s="175" t="s">
        <v>57</v>
      </c>
      <c r="AI3" s="175"/>
      <c r="AJ3" s="175"/>
    </row>
    <row r="4" spans="1:36" ht="16.5" thickBot="1">
      <c r="A4" s="9"/>
      <c r="B4" s="2" t="s">
        <v>2</v>
      </c>
      <c r="C4" s="5" t="s">
        <v>5</v>
      </c>
      <c r="D4" s="2" t="s">
        <v>6</v>
      </c>
      <c r="E4" s="2" t="s">
        <v>7</v>
      </c>
      <c r="F4" s="4" t="s">
        <v>4</v>
      </c>
      <c r="G4" s="8"/>
      <c r="H4" s="13" t="s">
        <v>43</v>
      </c>
      <c r="I4" s="11">
        <v>80</v>
      </c>
      <c r="K4" s="17" t="s">
        <v>58</v>
      </c>
      <c r="L4" s="17" t="s">
        <v>5</v>
      </c>
      <c r="M4" s="17" t="s">
        <v>6</v>
      </c>
      <c r="N4" s="17" t="s">
        <v>7</v>
      </c>
      <c r="O4" s="17" t="s">
        <v>5</v>
      </c>
      <c r="P4" s="17" t="s">
        <v>6</v>
      </c>
      <c r="Q4" s="17" t="s">
        <v>7</v>
      </c>
      <c r="S4" s="19">
        <v>6000</v>
      </c>
      <c r="T4" s="19" t="s">
        <v>82</v>
      </c>
      <c r="U4" s="19" t="s">
        <v>85</v>
      </c>
      <c r="W4" s="19" t="s">
        <v>124</v>
      </c>
      <c r="X4" s="19">
        <v>10</v>
      </c>
      <c r="Y4" s="19">
        <v>75</v>
      </c>
      <c r="Z4" s="19">
        <v>400</v>
      </c>
      <c r="AA4" s="19">
        <v>1250</v>
      </c>
      <c r="AB4" s="19">
        <v>4000</v>
      </c>
      <c r="AD4" s="17" t="s">
        <v>58</v>
      </c>
      <c r="AE4" s="17" t="s">
        <v>5</v>
      </c>
      <c r="AF4" s="17" t="s">
        <v>6</v>
      </c>
      <c r="AG4" s="17" t="s">
        <v>7</v>
      </c>
      <c r="AH4" s="17" t="s">
        <v>5</v>
      </c>
      <c r="AI4" s="17" t="s">
        <v>6</v>
      </c>
      <c r="AJ4" s="17" t="s">
        <v>7</v>
      </c>
    </row>
    <row r="5" spans="1:36" ht="16.5" thickBot="1">
      <c r="A5" s="9"/>
      <c r="B5" s="6" t="s">
        <v>8</v>
      </c>
      <c r="C5" s="6">
        <v>1.29</v>
      </c>
      <c r="D5" s="6">
        <v>1.2</v>
      </c>
      <c r="E5" s="6">
        <v>1.1499999999999999</v>
      </c>
      <c r="F5" s="7" t="s">
        <v>9</v>
      </c>
      <c r="G5" s="8"/>
      <c r="H5" s="13" t="s">
        <v>44</v>
      </c>
      <c r="I5" s="11">
        <v>70</v>
      </c>
      <c r="K5" s="18" t="s">
        <v>59</v>
      </c>
      <c r="L5" s="18" t="s">
        <v>29</v>
      </c>
      <c r="M5" s="18" t="s">
        <v>29</v>
      </c>
      <c r="N5" s="18">
        <v>14</v>
      </c>
      <c r="O5" s="18" t="s">
        <v>29</v>
      </c>
      <c r="P5" s="18" t="s">
        <v>29</v>
      </c>
      <c r="Q5" s="18" t="s">
        <v>29</v>
      </c>
      <c r="S5" s="19">
        <v>5000</v>
      </c>
      <c r="T5" s="19" t="s">
        <v>80</v>
      </c>
      <c r="U5" s="19" t="s">
        <v>85</v>
      </c>
      <c r="W5" s="19" t="s">
        <v>125</v>
      </c>
      <c r="X5" s="19">
        <v>15</v>
      </c>
      <c r="Y5" s="19">
        <v>100</v>
      </c>
      <c r="Z5" s="19">
        <v>450</v>
      </c>
      <c r="AA5" s="19">
        <v>1500</v>
      </c>
      <c r="AB5" s="19">
        <v>4500</v>
      </c>
      <c r="AD5" s="18" t="s">
        <v>59</v>
      </c>
      <c r="AE5" s="19"/>
      <c r="AF5" s="19"/>
      <c r="AG5" s="19">
        <v>18</v>
      </c>
      <c r="AH5" s="19"/>
      <c r="AI5" s="19"/>
      <c r="AJ5" s="19"/>
    </row>
    <row r="6" spans="1:36" ht="16.5" thickBot="1">
      <c r="A6" s="9"/>
      <c r="B6" s="6" t="s">
        <v>10</v>
      </c>
      <c r="C6" s="6">
        <v>1.22</v>
      </c>
      <c r="D6" s="6">
        <v>1.1499999999999999</v>
      </c>
      <c r="E6" s="6">
        <v>1.1200000000000001</v>
      </c>
      <c r="F6" s="7" t="s">
        <v>11</v>
      </c>
      <c r="G6" s="8"/>
      <c r="H6" s="13" t="s">
        <v>45</v>
      </c>
      <c r="I6" s="11">
        <v>50</v>
      </c>
      <c r="K6" s="18" t="s">
        <v>60</v>
      </c>
      <c r="L6" s="18" t="s">
        <v>29</v>
      </c>
      <c r="M6" s="18" t="s">
        <v>29</v>
      </c>
      <c r="N6" s="18">
        <v>18</v>
      </c>
      <c r="O6" s="18" t="s">
        <v>29</v>
      </c>
      <c r="P6" s="18" t="s">
        <v>29</v>
      </c>
      <c r="Q6" s="18" t="s">
        <v>29</v>
      </c>
      <c r="S6" s="19">
        <v>4000</v>
      </c>
      <c r="T6" s="19" t="s">
        <v>78</v>
      </c>
      <c r="U6" s="19" t="s">
        <v>81</v>
      </c>
      <c r="W6" s="19" t="s">
        <v>126</v>
      </c>
      <c r="X6" s="19">
        <v>20</v>
      </c>
      <c r="Y6" s="19">
        <v>125</v>
      </c>
      <c r="Z6" s="19">
        <v>500</v>
      </c>
      <c r="AA6" s="19">
        <v>1750</v>
      </c>
      <c r="AB6" s="19">
        <v>5000</v>
      </c>
      <c r="AD6" s="18" t="s">
        <v>60</v>
      </c>
      <c r="AE6" s="19"/>
      <c r="AF6" s="19"/>
      <c r="AG6" s="19">
        <v>24</v>
      </c>
      <c r="AH6" s="19"/>
      <c r="AI6" s="19"/>
      <c r="AJ6" s="19"/>
    </row>
    <row r="7" spans="1:36" ht="16.5" thickBot="1">
      <c r="A7" s="9"/>
      <c r="B7" s="6" t="s">
        <v>12</v>
      </c>
      <c r="C7" s="6">
        <v>1.1499999999999999</v>
      </c>
      <c r="D7" s="6">
        <v>1.1100000000000001</v>
      </c>
      <c r="E7" s="6">
        <v>1.08</v>
      </c>
      <c r="F7" s="7" t="s">
        <v>13</v>
      </c>
      <c r="G7" s="8"/>
      <c r="H7" s="13" t="s">
        <v>46</v>
      </c>
      <c r="I7" s="11">
        <v>45</v>
      </c>
      <c r="K7" s="18" t="s">
        <v>61</v>
      </c>
      <c r="L7" s="18">
        <v>20</v>
      </c>
      <c r="M7" s="18">
        <v>25</v>
      </c>
      <c r="N7" s="18">
        <v>30</v>
      </c>
      <c r="O7" s="18" t="s">
        <v>29</v>
      </c>
      <c r="P7" s="18" t="s">
        <v>29</v>
      </c>
      <c r="Q7" s="18" t="s">
        <v>29</v>
      </c>
      <c r="S7" s="19">
        <v>3000</v>
      </c>
      <c r="T7" s="19" t="s">
        <v>77</v>
      </c>
      <c r="U7" s="19" t="s">
        <v>79</v>
      </c>
      <c r="W7" s="19" t="s">
        <v>173</v>
      </c>
      <c r="X7" s="19">
        <v>25</v>
      </c>
      <c r="Y7" s="19">
        <v>150</v>
      </c>
      <c r="Z7" s="19">
        <v>600</v>
      </c>
      <c r="AA7" s="19">
        <v>2000</v>
      </c>
      <c r="AB7" s="19" t="s">
        <v>174</v>
      </c>
      <c r="AD7" s="18" t="s">
        <v>61</v>
      </c>
      <c r="AE7" s="19">
        <v>25</v>
      </c>
      <c r="AF7" s="19">
        <v>30</v>
      </c>
      <c r="AG7" s="19">
        <v>35</v>
      </c>
      <c r="AH7" s="19"/>
      <c r="AI7" s="19"/>
      <c r="AJ7" s="19"/>
    </row>
    <row r="8" spans="1:36" ht="16.5" thickBot="1">
      <c r="A8" s="9"/>
      <c r="B8" s="6" t="s">
        <v>14</v>
      </c>
      <c r="C8" s="6">
        <v>1.08</v>
      </c>
      <c r="D8" s="6">
        <v>1.05</v>
      </c>
      <c r="E8" s="6">
        <v>1.04</v>
      </c>
      <c r="F8" s="7" t="s">
        <v>15</v>
      </c>
      <c r="G8" s="8"/>
      <c r="H8" s="13" t="s">
        <v>47</v>
      </c>
      <c r="I8" s="11">
        <v>40</v>
      </c>
      <c r="K8" s="18" t="s">
        <v>62</v>
      </c>
      <c r="L8" s="18">
        <v>25</v>
      </c>
      <c r="M8" s="18">
        <v>30</v>
      </c>
      <c r="N8" s="18">
        <v>35</v>
      </c>
      <c r="O8" s="18">
        <v>20</v>
      </c>
      <c r="P8" s="18">
        <v>25</v>
      </c>
      <c r="Q8" s="18">
        <v>30</v>
      </c>
      <c r="S8" s="19">
        <v>2500</v>
      </c>
      <c r="T8" s="19" t="s">
        <v>76</v>
      </c>
      <c r="U8" s="19" t="s">
        <v>79</v>
      </c>
      <c r="W8" s="19" t="s">
        <v>129</v>
      </c>
      <c r="X8" s="19">
        <v>30</v>
      </c>
      <c r="Y8" s="19">
        <v>200</v>
      </c>
      <c r="Z8" s="19">
        <v>700</v>
      </c>
      <c r="AA8" s="19">
        <v>2250</v>
      </c>
      <c r="AB8" s="19" t="s">
        <v>174</v>
      </c>
      <c r="AD8" s="18" t="s">
        <v>62</v>
      </c>
      <c r="AE8" s="19">
        <v>30</v>
      </c>
      <c r="AF8" s="19">
        <v>35</v>
      </c>
      <c r="AG8" s="19">
        <v>40</v>
      </c>
      <c r="AH8" s="19">
        <v>25</v>
      </c>
      <c r="AI8" s="19">
        <v>30</v>
      </c>
      <c r="AJ8" s="19">
        <v>35</v>
      </c>
    </row>
    <row r="9" spans="1:36" ht="24.75" customHeight="1" thickBot="1">
      <c r="A9" s="9"/>
      <c r="B9" s="6" t="s">
        <v>16</v>
      </c>
      <c r="C9" s="6">
        <v>1</v>
      </c>
      <c r="D9" s="6">
        <v>1</v>
      </c>
      <c r="E9" s="6">
        <v>1</v>
      </c>
      <c r="F9" s="7" t="s">
        <v>17</v>
      </c>
      <c r="G9" s="8"/>
      <c r="H9" s="13" t="s">
        <v>48</v>
      </c>
      <c r="I9" s="11">
        <v>35</v>
      </c>
      <c r="K9" s="18" t="s">
        <v>63</v>
      </c>
      <c r="L9" s="18">
        <v>30</v>
      </c>
      <c r="M9" s="18">
        <v>35</v>
      </c>
      <c r="N9" s="18">
        <v>40</v>
      </c>
      <c r="O9" s="18">
        <v>25</v>
      </c>
      <c r="P9" s="18">
        <v>30</v>
      </c>
      <c r="Q9" s="18">
        <v>35</v>
      </c>
      <c r="S9" s="19">
        <v>2000</v>
      </c>
      <c r="T9" s="19" t="s">
        <v>74</v>
      </c>
      <c r="U9" s="19" t="s">
        <v>77</v>
      </c>
      <c r="W9" s="19" t="s">
        <v>132</v>
      </c>
      <c r="X9" s="19">
        <v>40</v>
      </c>
      <c r="Y9" s="19">
        <v>250</v>
      </c>
      <c r="Z9" s="19">
        <v>800</v>
      </c>
      <c r="AA9" s="19">
        <v>2500</v>
      </c>
      <c r="AB9" s="19" t="s">
        <v>174</v>
      </c>
      <c r="AD9" s="18" t="s">
        <v>63</v>
      </c>
      <c r="AE9" s="19">
        <v>40</v>
      </c>
      <c r="AF9" s="19">
        <v>50</v>
      </c>
      <c r="AG9" s="19">
        <v>55</v>
      </c>
      <c r="AH9" s="19">
        <v>35</v>
      </c>
      <c r="AI9" s="19">
        <v>40</v>
      </c>
      <c r="AJ9" s="19">
        <v>45</v>
      </c>
    </row>
    <row r="10" spans="1:36" ht="16.5" thickBot="1">
      <c r="A10" s="9"/>
      <c r="B10" s="6" t="s">
        <v>18</v>
      </c>
      <c r="C10" s="6">
        <v>0.91</v>
      </c>
      <c r="D10" s="6">
        <v>0.94</v>
      </c>
      <c r="E10" s="6">
        <v>0.96</v>
      </c>
      <c r="F10" s="7" t="s">
        <v>19</v>
      </c>
      <c r="G10" s="8"/>
      <c r="K10" s="18" t="s">
        <v>64</v>
      </c>
      <c r="L10" s="18">
        <v>40</v>
      </c>
      <c r="M10" s="18">
        <v>50</v>
      </c>
      <c r="N10" s="18">
        <v>55</v>
      </c>
      <c r="O10" s="18">
        <v>35</v>
      </c>
      <c r="P10" s="18">
        <v>40</v>
      </c>
      <c r="Q10" s="18">
        <v>45</v>
      </c>
      <c r="S10" s="19">
        <v>1600</v>
      </c>
      <c r="T10" s="19" t="s">
        <v>73</v>
      </c>
      <c r="U10" s="19" t="s">
        <v>76</v>
      </c>
      <c r="W10" s="19" t="s">
        <v>175</v>
      </c>
      <c r="X10" s="19">
        <v>50</v>
      </c>
      <c r="Y10" s="19">
        <v>300</v>
      </c>
      <c r="Z10" s="19">
        <v>900</v>
      </c>
      <c r="AA10" s="19">
        <v>3000</v>
      </c>
      <c r="AB10" s="19" t="s">
        <v>174</v>
      </c>
      <c r="AD10" s="18" t="s">
        <v>64</v>
      </c>
      <c r="AE10" s="19">
        <v>60</v>
      </c>
      <c r="AF10" s="19">
        <v>70</v>
      </c>
      <c r="AG10" s="19">
        <v>80</v>
      </c>
      <c r="AH10" s="19">
        <v>45</v>
      </c>
      <c r="AI10" s="19">
        <v>55</v>
      </c>
      <c r="AJ10" s="19">
        <v>60</v>
      </c>
    </row>
    <row r="11" spans="1:36" ht="16.5" thickBot="1">
      <c r="A11" s="9"/>
      <c r="B11" s="6" t="s">
        <v>20</v>
      </c>
      <c r="C11" s="6">
        <v>0.82</v>
      </c>
      <c r="D11" s="6">
        <v>0.88</v>
      </c>
      <c r="E11" s="6">
        <v>0.91</v>
      </c>
      <c r="F11" s="7" t="s">
        <v>21</v>
      </c>
      <c r="G11" s="8"/>
      <c r="H11" s="14"/>
      <c r="K11" s="18" t="s">
        <v>65</v>
      </c>
      <c r="L11" s="18">
        <v>55</v>
      </c>
      <c r="M11" s="18">
        <v>65</v>
      </c>
      <c r="N11" s="18">
        <v>75</v>
      </c>
      <c r="O11" s="18">
        <v>40</v>
      </c>
      <c r="P11" s="18">
        <v>50</v>
      </c>
      <c r="Q11" s="18">
        <v>60</v>
      </c>
      <c r="S11" s="19">
        <v>1200</v>
      </c>
      <c r="T11" s="19" t="s">
        <v>72</v>
      </c>
      <c r="U11" s="19" t="s">
        <v>74</v>
      </c>
      <c r="W11" s="19" t="s">
        <v>176</v>
      </c>
      <c r="X11" s="19">
        <v>60</v>
      </c>
      <c r="Y11" s="19">
        <v>350</v>
      </c>
      <c r="Z11" s="19">
        <v>1000</v>
      </c>
      <c r="AA11" s="19">
        <v>3500</v>
      </c>
      <c r="AB11" s="19" t="s">
        <v>174</v>
      </c>
      <c r="AD11" s="18" t="s">
        <v>65</v>
      </c>
      <c r="AE11" s="19">
        <v>80</v>
      </c>
      <c r="AF11" s="19">
        <v>95</v>
      </c>
      <c r="AG11" s="19">
        <v>105</v>
      </c>
      <c r="AH11" s="19">
        <v>60</v>
      </c>
      <c r="AI11" s="19">
        <v>75</v>
      </c>
      <c r="AJ11" s="19">
        <v>85</v>
      </c>
    </row>
    <row r="12" spans="1:36" ht="16.5" thickBot="1">
      <c r="A12" s="9"/>
      <c r="B12" s="6" t="s">
        <v>22</v>
      </c>
      <c r="C12" s="6">
        <v>0.71</v>
      </c>
      <c r="D12" s="6">
        <v>0.82</v>
      </c>
      <c r="E12" s="6">
        <v>0.87</v>
      </c>
      <c r="F12" s="7" t="s">
        <v>23</v>
      </c>
      <c r="G12" s="8"/>
      <c r="K12" s="18" t="s">
        <v>66</v>
      </c>
      <c r="L12" s="18">
        <v>70</v>
      </c>
      <c r="M12" s="18">
        <v>85</v>
      </c>
      <c r="N12" s="18">
        <v>95</v>
      </c>
      <c r="O12" s="18">
        <v>55</v>
      </c>
      <c r="P12" s="18">
        <v>65</v>
      </c>
      <c r="Q12" s="18">
        <v>75</v>
      </c>
      <c r="S12" s="19">
        <v>1000</v>
      </c>
      <c r="T12" s="19" t="s">
        <v>71</v>
      </c>
      <c r="U12" s="19" t="s">
        <v>73</v>
      </c>
      <c r="AD12" s="18" t="s">
        <v>66</v>
      </c>
      <c r="AE12" s="19">
        <v>105</v>
      </c>
      <c r="AF12" s="19">
        <v>125</v>
      </c>
      <c r="AG12" s="19">
        <v>140</v>
      </c>
      <c r="AH12" s="19">
        <v>80</v>
      </c>
      <c r="AI12" s="19">
        <v>100</v>
      </c>
      <c r="AJ12" s="19">
        <v>115</v>
      </c>
    </row>
    <row r="13" spans="1:36" ht="16.5" thickBot="1">
      <c r="A13" s="9"/>
      <c r="B13" s="6" t="s">
        <v>24</v>
      </c>
      <c r="C13" s="6">
        <v>0.57999999999999996</v>
      </c>
      <c r="D13" s="6">
        <v>0.75</v>
      </c>
      <c r="E13" s="6">
        <v>0.82</v>
      </c>
      <c r="F13" s="7" t="s">
        <v>25</v>
      </c>
      <c r="G13" s="8"/>
      <c r="K13" s="18" t="s">
        <v>67</v>
      </c>
      <c r="L13" s="18">
        <v>85</v>
      </c>
      <c r="M13" s="18">
        <v>100</v>
      </c>
      <c r="N13" s="18">
        <v>110</v>
      </c>
      <c r="O13" s="18">
        <v>65</v>
      </c>
      <c r="P13" s="18">
        <v>75</v>
      </c>
      <c r="Q13" s="18">
        <v>85</v>
      </c>
      <c r="S13" s="19">
        <v>800</v>
      </c>
      <c r="T13" s="19" t="s">
        <v>70</v>
      </c>
      <c r="U13" s="19" t="s">
        <v>72</v>
      </c>
      <c r="AD13" s="18" t="s">
        <v>67</v>
      </c>
      <c r="AE13" s="19">
        <v>120</v>
      </c>
      <c r="AF13" s="19">
        <v>145</v>
      </c>
      <c r="AG13" s="19">
        <v>165</v>
      </c>
      <c r="AH13" s="19">
        <v>95</v>
      </c>
      <c r="AI13" s="19">
        <v>115</v>
      </c>
      <c r="AJ13" s="19">
        <v>130</v>
      </c>
    </row>
    <row r="14" spans="1:36" ht="16.5" thickBot="1">
      <c r="A14" s="9"/>
      <c r="B14" s="6" t="s">
        <v>26</v>
      </c>
      <c r="C14" s="6">
        <v>0.41</v>
      </c>
      <c r="D14" s="6">
        <v>0.67</v>
      </c>
      <c r="E14" s="6">
        <v>0.76</v>
      </c>
      <c r="F14" s="7" t="s">
        <v>27</v>
      </c>
      <c r="G14" s="8"/>
      <c r="H14" s="15" t="s">
        <v>50</v>
      </c>
      <c r="I14" s="15" t="s">
        <v>51</v>
      </c>
      <c r="K14" s="18" t="s">
        <v>68</v>
      </c>
      <c r="L14" s="18">
        <v>95</v>
      </c>
      <c r="M14" s="18">
        <v>115</v>
      </c>
      <c r="N14" s="18">
        <v>130</v>
      </c>
      <c r="O14" s="18">
        <v>75</v>
      </c>
      <c r="P14" s="18">
        <v>90</v>
      </c>
      <c r="Q14" s="18">
        <v>100</v>
      </c>
      <c r="S14" s="19">
        <v>600</v>
      </c>
      <c r="T14" s="19" t="s">
        <v>69</v>
      </c>
      <c r="U14" s="19" t="s">
        <v>71</v>
      </c>
      <c r="W14" s="177" t="s">
        <v>178</v>
      </c>
      <c r="X14" s="177"/>
      <c r="Y14" s="177"/>
      <c r="Z14" s="177"/>
      <c r="AD14" s="18" t="s">
        <v>68</v>
      </c>
      <c r="AE14" s="19">
        <v>140</v>
      </c>
      <c r="AF14" s="19">
        <v>170</v>
      </c>
      <c r="AG14" s="19">
        <v>190</v>
      </c>
      <c r="AH14" s="19">
        <v>110</v>
      </c>
      <c r="AI14" s="19">
        <v>135</v>
      </c>
      <c r="AJ14" s="19">
        <v>150</v>
      </c>
    </row>
    <row r="15" spans="1:36" ht="16.5" thickBot="1">
      <c r="A15" s="9"/>
      <c r="B15" s="6" t="s">
        <v>28</v>
      </c>
      <c r="C15" s="6" t="s">
        <v>29</v>
      </c>
      <c r="D15" s="6">
        <v>0.57999999999999996</v>
      </c>
      <c r="E15" s="6">
        <v>0.71</v>
      </c>
      <c r="F15" s="7" t="s">
        <v>30</v>
      </c>
      <c r="G15" s="8"/>
      <c r="H15" s="16" t="s">
        <v>5</v>
      </c>
      <c r="I15" s="16" t="s">
        <v>52</v>
      </c>
      <c r="K15" s="18" t="s">
        <v>69</v>
      </c>
      <c r="L15" s="18">
        <v>110</v>
      </c>
      <c r="M15" s="18">
        <v>130</v>
      </c>
      <c r="N15" s="18">
        <v>150</v>
      </c>
      <c r="O15" s="18">
        <v>85</v>
      </c>
      <c r="P15" s="18">
        <v>100</v>
      </c>
      <c r="Q15" s="18">
        <v>115</v>
      </c>
      <c r="S15" s="19">
        <v>500</v>
      </c>
      <c r="T15" s="19" t="s">
        <v>68</v>
      </c>
      <c r="U15" s="19" t="s">
        <v>70</v>
      </c>
      <c r="W15" s="37" t="s">
        <v>179</v>
      </c>
      <c r="X15" s="37" t="s">
        <v>180</v>
      </c>
      <c r="Y15" s="37" t="s">
        <v>181</v>
      </c>
      <c r="Z15" s="37" t="s">
        <v>182</v>
      </c>
      <c r="AD15" s="18" t="s">
        <v>69</v>
      </c>
      <c r="AE15" s="19">
        <v>165</v>
      </c>
      <c r="AF15" s="19">
        <v>195</v>
      </c>
      <c r="AG15" s="19">
        <v>220</v>
      </c>
      <c r="AH15" s="19">
        <v>130</v>
      </c>
      <c r="AI15" s="19">
        <v>155</v>
      </c>
      <c r="AJ15" s="19">
        <v>175</v>
      </c>
    </row>
    <row r="16" spans="1:36" ht="16.5" thickBot="1">
      <c r="A16" s="9"/>
      <c r="B16" s="6" t="s">
        <v>31</v>
      </c>
      <c r="C16" s="6" t="s">
        <v>29</v>
      </c>
      <c r="D16" s="6">
        <v>0.47</v>
      </c>
      <c r="E16" s="6">
        <v>0.65</v>
      </c>
      <c r="F16" s="7" t="s">
        <v>32</v>
      </c>
      <c r="G16" s="8"/>
      <c r="H16" s="16" t="s">
        <v>6</v>
      </c>
      <c r="I16" s="16" t="s">
        <v>53</v>
      </c>
      <c r="K16" s="18" t="s">
        <v>70</v>
      </c>
      <c r="L16" s="18">
        <v>125</v>
      </c>
      <c r="M16" s="18">
        <v>150</v>
      </c>
      <c r="N16" s="18">
        <v>170</v>
      </c>
      <c r="O16" s="18">
        <v>100</v>
      </c>
      <c r="P16" s="18">
        <v>120</v>
      </c>
      <c r="Q16" s="18">
        <v>135</v>
      </c>
      <c r="S16" s="19">
        <v>400</v>
      </c>
      <c r="T16" s="19" t="s">
        <v>67</v>
      </c>
      <c r="U16" s="19" t="s">
        <v>69</v>
      </c>
      <c r="W16" s="19">
        <v>300</v>
      </c>
      <c r="X16" s="19">
        <v>650</v>
      </c>
      <c r="Y16" s="19">
        <v>1750</v>
      </c>
      <c r="Z16" s="19">
        <v>5000</v>
      </c>
      <c r="AD16" s="18" t="s">
        <v>70</v>
      </c>
      <c r="AE16" s="19">
        <v>195</v>
      </c>
      <c r="AF16" s="19">
        <v>230</v>
      </c>
      <c r="AG16" s="19">
        <v>260</v>
      </c>
      <c r="AH16" s="19">
        <v>150</v>
      </c>
      <c r="AI16" s="19">
        <v>180</v>
      </c>
      <c r="AJ16" s="19">
        <v>205</v>
      </c>
    </row>
    <row r="17" spans="1:36" ht="16.5" thickBot="1">
      <c r="A17" s="9"/>
      <c r="B17" s="6" t="s">
        <v>33</v>
      </c>
      <c r="C17" s="6" t="s">
        <v>29</v>
      </c>
      <c r="D17" s="6">
        <v>0.33</v>
      </c>
      <c r="E17" s="6">
        <v>0.57999999999999996</v>
      </c>
      <c r="F17" s="7" t="s">
        <v>34</v>
      </c>
      <c r="G17" s="8"/>
      <c r="H17" s="16" t="s">
        <v>7</v>
      </c>
      <c r="I17" s="16" t="s">
        <v>54</v>
      </c>
      <c r="K17" s="18" t="s">
        <v>71</v>
      </c>
      <c r="L17" s="18">
        <v>145</v>
      </c>
      <c r="M17" s="18">
        <v>175</v>
      </c>
      <c r="N17" s="18">
        <v>195</v>
      </c>
      <c r="O17" s="18">
        <v>115</v>
      </c>
      <c r="P17" s="18">
        <v>135</v>
      </c>
      <c r="Q17" s="18">
        <v>150</v>
      </c>
      <c r="S17" s="19">
        <v>300</v>
      </c>
      <c r="T17" s="19" t="s">
        <v>66</v>
      </c>
      <c r="U17" s="19" t="s">
        <v>68</v>
      </c>
      <c r="W17" s="19">
        <v>400</v>
      </c>
      <c r="X17" s="19">
        <v>850</v>
      </c>
      <c r="Y17" s="19">
        <v>2500</v>
      </c>
      <c r="Z17" s="19">
        <v>7000</v>
      </c>
      <c r="AD17" s="18" t="s">
        <v>71</v>
      </c>
      <c r="AE17" s="19">
        <v>225</v>
      </c>
      <c r="AF17" s="19">
        <v>265</v>
      </c>
      <c r="AG17" s="19">
        <v>300</v>
      </c>
      <c r="AH17" s="19">
        <v>175</v>
      </c>
      <c r="AI17" s="19">
        <v>210</v>
      </c>
      <c r="AJ17" s="19">
        <v>235</v>
      </c>
    </row>
    <row r="18" spans="1:36" ht="16.5" thickBot="1">
      <c r="A18" s="9"/>
      <c r="B18" s="6" t="s">
        <v>35</v>
      </c>
      <c r="C18" s="6" t="s">
        <v>29</v>
      </c>
      <c r="D18" s="6" t="s">
        <v>29</v>
      </c>
      <c r="E18" s="6">
        <v>0.5</v>
      </c>
      <c r="F18" s="7" t="s">
        <v>36</v>
      </c>
      <c r="G18" s="8"/>
      <c r="K18" s="18" t="s">
        <v>72</v>
      </c>
      <c r="L18" s="18">
        <v>165</v>
      </c>
      <c r="M18" s="18">
        <v>200</v>
      </c>
      <c r="N18" s="18">
        <v>225</v>
      </c>
      <c r="O18" s="18">
        <v>130</v>
      </c>
      <c r="P18" s="18">
        <v>155</v>
      </c>
      <c r="Q18" s="18">
        <v>175</v>
      </c>
      <c r="S18" s="19">
        <v>200</v>
      </c>
      <c r="T18" s="19" t="s">
        <v>65</v>
      </c>
      <c r="U18" s="19" t="s">
        <v>66</v>
      </c>
      <c r="W18" s="19">
        <v>500</v>
      </c>
      <c r="X18" s="19">
        <v>1150</v>
      </c>
      <c r="Y18" s="19">
        <v>3500</v>
      </c>
      <c r="Z18" s="19">
        <v>10000</v>
      </c>
      <c r="AD18" s="18" t="s">
        <v>72</v>
      </c>
      <c r="AE18" s="19">
        <v>260</v>
      </c>
      <c r="AF18" s="19">
        <v>310</v>
      </c>
      <c r="AG18" s="19">
        <v>350</v>
      </c>
      <c r="AH18" s="19">
        <v>200</v>
      </c>
      <c r="AI18" s="19">
        <v>240</v>
      </c>
      <c r="AJ18" s="19">
        <v>270</v>
      </c>
    </row>
    <row r="19" spans="1:36" ht="16.5" thickBot="1">
      <c r="A19" s="9"/>
      <c r="B19" s="6" t="s">
        <v>37</v>
      </c>
      <c r="C19" s="6" t="s">
        <v>29</v>
      </c>
      <c r="D19" s="6" t="s">
        <v>29</v>
      </c>
      <c r="E19" s="6">
        <v>0.41</v>
      </c>
      <c r="F19" s="7" t="s">
        <v>38</v>
      </c>
      <c r="G19" s="8"/>
      <c r="K19" s="18" t="s">
        <v>73</v>
      </c>
      <c r="L19" s="18">
        <v>195</v>
      </c>
      <c r="M19" s="18">
        <v>230</v>
      </c>
      <c r="N19" s="18">
        <v>260</v>
      </c>
      <c r="O19" s="18">
        <v>150</v>
      </c>
      <c r="P19" s="18">
        <v>180</v>
      </c>
      <c r="Q19" s="18">
        <v>205</v>
      </c>
      <c r="S19" s="19">
        <v>100</v>
      </c>
      <c r="T19" s="19" t="s">
        <v>64</v>
      </c>
      <c r="U19" s="19" t="s">
        <v>65</v>
      </c>
      <c r="AD19" s="18" t="s">
        <v>73</v>
      </c>
      <c r="AE19" s="19">
        <v>300</v>
      </c>
      <c r="AF19" s="19">
        <v>360</v>
      </c>
      <c r="AG19" s="19">
        <v>405</v>
      </c>
      <c r="AH19" s="19">
        <v>235</v>
      </c>
      <c r="AI19" s="19">
        <v>280</v>
      </c>
      <c r="AJ19" s="19">
        <v>315</v>
      </c>
    </row>
    <row r="20" spans="1:36" ht="16.5" thickBot="1">
      <c r="A20" s="9"/>
      <c r="B20" s="6" t="s">
        <v>39</v>
      </c>
      <c r="C20" s="6" t="s">
        <v>29</v>
      </c>
      <c r="D20" s="6" t="s">
        <v>29</v>
      </c>
      <c r="E20" s="6">
        <v>0.28999999999999998</v>
      </c>
      <c r="F20" s="7" t="s">
        <v>40</v>
      </c>
      <c r="G20" s="8"/>
      <c r="K20" s="18" t="s">
        <v>74</v>
      </c>
      <c r="L20" s="18">
        <v>215</v>
      </c>
      <c r="M20" s="18">
        <v>255</v>
      </c>
      <c r="N20" s="18">
        <v>290</v>
      </c>
      <c r="O20" s="18">
        <v>170</v>
      </c>
      <c r="P20" s="18">
        <v>205</v>
      </c>
      <c r="Q20" s="18">
        <v>230</v>
      </c>
      <c r="S20" s="19">
        <v>60</v>
      </c>
      <c r="T20" s="19" t="s">
        <v>63</v>
      </c>
      <c r="U20" s="19" t="s">
        <v>64</v>
      </c>
      <c r="AD20" s="18" t="s">
        <v>74</v>
      </c>
      <c r="AE20" s="19">
        <v>340</v>
      </c>
      <c r="AF20" s="19">
        <v>405</v>
      </c>
      <c r="AG20" s="19">
        <v>455</v>
      </c>
      <c r="AH20" s="19">
        <v>265</v>
      </c>
      <c r="AI20" s="19">
        <v>315</v>
      </c>
      <c r="AJ20" s="19">
        <v>355</v>
      </c>
    </row>
    <row r="21" spans="1:36" ht="15.75">
      <c r="K21" s="18" t="s">
        <v>75</v>
      </c>
      <c r="L21" s="18">
        <v>240</v>
      </c>
      <c r="M21" s="18">
        <v>285</v>
      </c>
      <c r="N21" s="18">
        <v>320</v>
      </c>
      <c r="O21" s="18">
        <v>190</v>
      </c>
      <c r="P21" s="18">
        <v>230</v>
      </c>
      <c r="Q21" s="18">
        <v>255</v>
      </c>
      <c r="S21" s="19">
        <v>20</v>
      </c>
      <c r="T21" s="19" t="s">
        <v>62</v>
      </c>
      <c r="U21" s="19" t="s">
        <v>63</v>
      </c>
      <c r="AD21" s="18" t="s">
        <v>75</v>
      </c>
      <c r="AE21" s="19">
        <v>375</v>
      </c>
      <c r="AF21" s="19">
        <v>445</v>
      </c>
      <c r="AG21" s="19">
        <v>500</v>
      </c>
      <c r="AH21" s="19">
        <v>290</v>
      </c>
      <c r="AI21" s="19">
        <v>350</v>
      </c>
      <c r="AJ21" s="19">
        <v>395</v>
      </c>
    </row>
    <row r="22" spans="1:36" ht="15.75">
      <c r="K22" s="18" t="s">
        <v>76</v>
      </c>
      <c r="L22" s="18">
        <v>260</v>
      </c>
      <c r="M22" s="18">
        <v>310</v>
      </c>
      <c r="N22" s="18">
        <v>350</v>
      </c>
      <c r="O22" s="18">
        <v>210</v>
      </c>
      <c r="P22" s="18">
        <v>250</v>
      </c>
      <c r="Q22" s="18">
        <v>280</v>
      </c>
      <c r="S22" s="19">
        <v>15</v>
      </c>
      <c r="T22" s="19" t="s">
        <v>61</v>
      </c>
      <c r="U22" s="19" t="s">
        <v>62</v>
      </c>
      <c r="AD22" s="18" t="s">
        <v>76</v>
      </c>
      <c r="AE22" s="19">
        <v>420</v>
      </c>
      <c r="AF22" s="19">
        <v>505</v>
      </c>
      <c r="AG22" s="19">
        <v>570</v>
      </c>
      <c r="AH22" s="19">
        <v>330</v>
      </c>
      <c r="AI22" s="19">
        <v>395</v>
      </c>
      <c r="AJ22" s="19">
        <v>445</v>
      </c>
    </row>
    <row r="23" spans="1:36" ht="15.75">
      <c r="K23" s="18" t="s">
        <v>77</v>
      </c>
      <c r="L23" s="18">
        <v>280</v>
      </c>
      <c r="M23" s="18">
        <v>335</v>
      </c>
      <c r="N23" s="18">
        <v>380</v>
      </c>
      <c r="O23" s="18">
        <v>225</v>
      </c>
      <c r="P23" s="18">
        <v>270</v>
      </c>
      <c r="Q23" s="18">
        <v>305</v>
      </c>
      <c r="AD23" s="18" t="s">
        <v>77</v>
      </c>
      <c r="AE23" s="19">
        <v>455</v>
      </c>
      <c r="AF23" s="19">
        <v>545</v>
      </c>
      <c r="AG23" s="19">
        <v>615</v>
      </c>
      <c r="AH23" s="19">
        <v>355</v>
      </c>
      <c r="AI23" s="19">
        <v>425</v>
      </c>
      <c r="AJ23" s="19">
        <v>480</v>
      </c>
    </row>
    <row r="24" spans="1:36" ht="15.75">
      <c r="K24" s="18" t="s">
        <v>78</v>
      </c>
      <c r="L24" s="18">
        <v>320</v>
      </c>
      <c r="M24" s="18">
        <v>380</v>
      </c>
      <c r="N24" s="18">
        <v>430</v>
      </c>
      <c r="O24" s="18">
        <v>260</v>
      </c>
      <c r="P24" s="18">
        <v>310</v>
      </c>
      <c r="Q24" s="18">
        <v>350</v>
      </c>
      <c r="AD24" s="18" t="s">
        <v>78</v>
      </c>
      <c r="AE24" s="19">
        <v>515</v>
      </c>
      <c r="AF24" s="19">
        <v>620</v>
      </c>
      <c r="AG24" s="19">
        <v>700</v>
      </c>
      <c r="AH24" s="19">
        <v>405</v>
      </c>
      <c r="AI24" s="19">
        <v>485</v>
      </c>
      <c r="AJ24" s="19">
        <v>545</v>
      </c>
    </row>
    <row r="25" spans="1:36" ht="15.75">
      <c r="K25" s="18" t="s">
        <v>79</v>
      </c>
      <c r="L25" s="18">
        <v>355</v>
      </c>
      <c r="M25" s="18">
        <v>420</v>
      </c>
      <c r="N25" s="18">
        <v>475</v>
      </c>
      <c r="O25" s="18">
        <v>285</v>
      </c>
      <c r="P25" s="18">
        <v>340</v>
      </c>
      <c r="Q25" s="18">
        <v>385</v>
      </c>
      <c r="AD25" s="18" t="s">
        <v>79</v>
      </c>
      <c r="AE25" s="19">
        <v>575</v>
      </c>
      <c r="AF25" s="19">
        <v>690</v>
      </c>
      <c r="AG25" s="19">
        <v>780</v>
      </c>
      <c r="AH25" s="19">
        <v>455</v>
      </c>
      <c r="AI25" s="19">
        <v>545</v>
      </c>
      <c r="AJ25" s="19">
        <v>615</v>
      </c>
    </row>
    <row r="26" spans="1:36" ht="15.75">
      <c r="K26" s="18" t="s">
        <v>80</v>
      </c>
      <c r="L26" s="18">
        <v>385</v>
      </c>
      <c r="M26" s="18">
        <v>460</v>
      </c>
      <c r="N26" s="18">
        <v>520</v>
      </c>
      <c r="O26" s="18">
        <v>310</v>
      </c>
      <c r="P26" s="18">
        <v>375</v>
      </c>
      <c r="Q26" s="18">
        <v>425</v>
      </c>
      <c r="AD26" s="18" t="s">
        <v>80</v>
      </c>
      <c r="AE26" s="19">
        <v>630</v>
      </c>
      <c r="AF26" s="19">
        <v>755</v>
      </c>
      <c r="AG26" s="19">
        <v>850</v>
      </c>
      <c r="AH26" s="19">
        <v>500</v>
      </c>
      <c r="AI26" s="19">
        <v>595</v>
      </c>
      <c r="AJ26" s="19">
        <v>670</v>
      </c>
    </row>
    <row r="27" spans="1:36" ht="15.75">
      <c r="K27" s="18" t="s">
        <v>81</v>
      </c>
      <c r="L27" s="18">
        <v>400</v>
      </c>
      <c r="M27" s="18">
        <v>475</v>
      </c>
      <c r="N27" s="18">
        <v>535</v>
      </c>
      <c r="O27" s="18">
        <v>320</v>
      </c>
      <c r="P27" s="18">
        <v>385</v>
      </c>
      <c r="Q27" s="18">
        <v>435</v>
      </c>
      <c r="AD27" s="18" t="s">
        <v>81</v>
      </c>
      <c r="AE27" s="19">
        <v>655</v>
      </c>
      <c r="AF27" s="19">
        <v>785</v>
      </c>
      <c r="AG27" s="19">
        <v>885</v>
      </c>
      <c r="AH27" s="19">
        <v>515</v>
      </c>
      <c r="AI27" s="19">
        <v>620</v>
      </c>
      <c r="AJ27" s="19">
        <v>700</v>
      </c>
    </row>
    <row r="28" spans="1:36" ht="15.75">
      <c r="K28" s="18" t="s">
        <v>82</v>
      </c>
      <c r="L28" s="18">
        <v>410</v>
      </c>
      <c r="M28" s="18">
        <v>490</v>
      </c>
      <c r="N28" s="18">
        <v>555</v>
      </c>
      <c r="O28" s="18">
        <v>330</v>
      </c>
      <c r="P28" s="18">
        <v>395</v>
      </c>
      <c r="Q28" s="18">
        <v>445</v>
      </c>
      <c r="AD28" s="18" t="s">
        <v>82</v>
      </c>
      <c r="AE28" s="19">
        <v>680</v>
      </c>
      <c r="AF28" s="19">
        <v>815</v>
      </c>
      <c r="AG28" s="19">
        <v>920</v>
      </c>
      <c r="AH28" s="19">
        <v>535</v>
      </c>
      <c r="AI28" s="19">
        <v>645</v>
      </c>
      <c r="AJ28" s="19">
        <v>725</v>
      </c>
    </row>
    <row r="29" spans="1:36" ht="15.75">
      <c r="K29" s="18" t="s">
        <v>83</v>
      </c>
      <c r="L29" s="18">
        <v>435</v>
      </c>
      <c r="M29" s="18">
        <v>520</v>
      </c>
      <c r="N29" s="18">
        <v>585</v>
      </c>
      <c r="O29" s="18">
        <v>355</v>
      </c>
      <c r="P29" s="18">
        <v>425</v>
      </c>
      <c r="Q29" s="18">
        <v>480</v>
      </c>
      <c r="AD29" s="18" t="s">
        <v>83</v>
      </c>
      <c r="AE29" s="19">
        <v>730</v>
      </c>
      <c r="AF29" s="19">
        <v>870</v>
      </c>
      <c r="AG29" s="19">
        <v>980</v>
      </c>
      <c r="AH29" s="19">
        <v>580</v>
      </c>
      <c r="AI29" s="19">
        <v>700</v>
      </c>
      <c r="AJ29" s="19">
        <v>790</v>
      </c>
    </row>
    <row r="30" spans="1:36" ht="15.75">
      <c r="K30" s="18" t="s">
        <v>84</v>
      </c>
      <c r="L30" s="18">
        <v>455</v>
      </c>
      <c r="M30" s="18">
        <v>545</v>
      </c>
      <c r="N30" s="18">
        <v>615</v>
      </c>
      <c r="O30" s="18">
        <v>375</v>
      </c>
      <c r="P30" s="18">
        <v>445</v>
      </c>
      <c r="Q30" s="18">
        <v>500</v>
      </c>
      <c r="AD30" s="18" t="s">
        <v>84</v>
      </c>
      <c r="AE30" s="19">
        <v>780</v>
      </c>
      <c r="AF30" s="19">
        <v>935</v>
      </c>
      <c r="AG30" s="19">
        <v>1055</v>
      </c>
      <c r="AH30" s="19">
        <v>625</v>
      </c>
      <c r="AI30" s="19">
        <v>750</v>
      </c>
      <c r="AJ30" s="19">
        <v>845</v>
      </c>
    </row>
    <row r="31" spans="1:36" ht="15.75">
      <c r="K31" s="18" t="s">
        <v>85</v>
      </c>
      <c r="L31" s="18">
        <v>495</v>
      </c>
      <c r="M31" s="18">
        <v>590</v>
      </c>
      <c r="N31" s="18">
        <v>665</v>
      </c>
      <c r="O31" s="18">
        <v>405</v>
      </c>
      <c r="P31" s="18">
        <v>485</v>
      </c>
      <c r="Q31" s="18">
        <v>545</v>
      </c>
      <c r="AD31" s="18" t="s">
        <v>85</v>
      </c>
      <c r="AE31" s="19">
        <v>890</v>
      </c>
      <c r="AF31" s="19">
        <v>1065</v>
      </c>
      <c r="AG31" s="19">
        <v>1200</v>
      </c>
      <c r="AH31" s="19">
        <v>710</v>
      </c>
      <c r="AI31" s="19">
        <v>855</v>
      </c>
      <c r="AJ31" s="19">
        <v>965</v>
      </c>
    </row>
    <row r="32" spans="1:36" ht="15.75">
      <c r="K32" s="18" t="s">
        <v>86</v>
      </c>
      <c r="L32" s="18">
        <v>525</v>
      </c>
      <c r="M32" s="18">
        <v>625</v>
      </c>
      <c r="N32" s="18">
        <v>705</v>
      </c>
      <c r="O32" s="18">
        <v>435</v>
      </c>
      <c r="P32" s="18">
        <v>520</v>
      </c>
      <c r="Q32" s="18">
        <v>585</v>
      </c>
      <c r="AD32" s="18" t="s">
        <v>86</v>
      </c>
      <c r="AE32" s="19">
        <v>980</v>
      </c>
      <c r="AF32" s="19">
        <v>1175</v>
      </c>
      <c r="AG32" s="19">
        <v>1325</v>
      </c>
      <c r="AH32" s="19">
        <v>795</v>
      </c>
      <c r="AI32" s="19">
        <v>950</v>
      </c>
      <c r="AJ32" s="19">
        <v>1070</v>
      </c>
    </row>
    <row r="33" spans="11:36" ht="15.75">
      <c r="K33" s="18" t="s">
        <v>87</v>
      </c>
      <c r="L33" s="18">
        <v>545</v>
      </c>
      <c r="M33" s="18">
        <v>650</v>
      </c>
      <c r="N33" s="18">
        <v>735</v>
      </c>
      <c r="O33" s="18">
        <v>455</v>
      </c>
      <c r="P33" s="18">
        <v>545</v>
      </c>
      <c r="Q33" s="18">
        <v>615</v>
      </c>
      <c r="AD33" s="18" t="s">
        <v>87</v>
      </c>
      <c r="AE33" s="19">
        <v>1070</v>
      </c>
      <c r="AF33" s="19">
        <v>1280</v>
      </c>
      <c r="AG33" s="19">
        <v>1445</v>
      </c>
      <c r="AH33" s="19">
        <v>875</v>
      </c>
      <c r="AI33" s="19">
        <v>1050</v>
      </c>
      <c r="AJ33" s="19">
        <v>1185</v>
      </c>
    </row>
    <row r="34" spans="11:36" ht="15.75">
      <c r="K34" s="18" t="s">
        <v>88</v>
      </c>
      <c r="L34" s="18">
        <v>555</v>
      </c>
      <c r="M34" s="18">
        <v>665</v>
      </c>
      <c r="N34" s="18">
        <v>750</v>
      </c>
      <c r="O34" s="18">
        <v>470</v>
      </c>
      <c r="P34" s="18">
        <v>560</v>
      </c>
      <c r="Q34" s="18">
        <v>630</v>
      </c>
      <c r="AD34" s="18" t="s">
        <v>88</v>
      </c>
      <c r="AE34" s="19">
        <v>1155</v>
      </c>
      <c r="AF34" s="19">
        <v>1385</v>
      </c>
      <c r="AG34" s="19">
        <v>1560</v>
      </c>
      <c r="AH34" s="19">
        <v>960</v>
      </c>
      <c r="AI34" s="19">
        <v>1150</v>
      </c>
      <c r="AJ34" s="19">
        <v>1295</v>
      </c>
    </row>
  </sheetData>
  <sortState xmlns:xlrd2="http://schemas.microsoft.com/office/spreadsheetml/2017/richdata2" ref="S4:U22">
    <sortCondition descending="1" ref="S4:S22"/>
  </sortState>
  <mergeCells count="12">
    <mergeCell ref="W14:Z14"/>
    <mergeCell ref="C3:E3"/>
    <mergeCell ref="B2:F2"/>
    <mergeCell ref="H2:I2"/>
    <mergeCell ref="L3:N3"/>
    <mergeCell ref="O3:Q3"/>
    <mergeCell ref="K2:Q2"/>
    <mergeCell ref="AD2:AJ2"/>
    <mergeCell ref="AE3:AG3"/>
    <mergeCell ref="AH3:AJ3"/>
    <mergeCell ref="S2:U2"/>
    <mergeCell ref="W2:AB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6333F-6D49-46D0-B312-BF3B866DCD30}">
  <sheetPr>
    <pageSetUpPr fitToPage="1"/>
  </sheetPr>
  <dimension ref="A1:P56"/>
  <sheetViews>
    <sheetView zoomScale="130" zoomScaleNormal="130" workbookViewId="0">
      <selection activeCell="B24" sqref="B24"/>
    </sheetView>
  </sheetViews>
  <sheetFormatPr defaultRowHeight="15"/>
  <cols>
    <col min="1" max="1" width="12.5703125" bestFit="1" customWidth="1"/>
    <col min="2" max="2" width="16.28515625" bestFit="1" customWidth="1"/>
    <col min="3" max="3" width="63.85546875" bestFit="1" customWidth="1"/>
    <col min="4" max="4" width="14" bestFit="1" customWidth="1"/>
    <col min="5" max="5" width="53.42578125" customWidth="1"/>
    <col min="6" max="6" width="14.140625" customWidth="1"/>
    <col min="7" max="8" width="0" hidden="1" customWidth="1"/>
    <col min="9" max="9" width="10.85546875" bestFit="1" customWidth="1"/>
    <col min="10" max="10" width="12.42578125" customWidth="1"/>
    <col min="12" max="12" width="50.85546875" bestFit="1" customWidth="1"/>
    <col min="14" max="14" width="6.85546875" bestFit="1" customWidth="1"/>
    <col min="15" max="15" width="6.28515625" bestFit="1" customWidth="1"/>
    <col min="16" max="16" width="63.85546875" bestFit="1" customWidth="1"/>
  </cols>
  <sheetData>
    <row r="1" spans="1:16">
      <c r="A1" s="183" t="s">
        <v>383</v>
      </c>
      <c r="B1" s="183"/>
      <c r="C1" s="183"/>
      <c r="D1" s="183"/>
      <c r="E1" s="183"/>
      <c r="F1" s="173" t="s">
        <v>1384</v>
      </c>
      <c r="G1" s="173"/>
      <c r="H1" s="173"/>
      <c r="I1" s="173"/>
      <c r="J1" s="173"/>
      <c r="K1" s="173"/>
      <c r="L1" s="173"/>
      <c r="N1" s="173" t="s">
        <v>384</v>
      </c>
      <c r="O1" s="173"/>
      <c r="P1" s="173"/>
    </row>
    <row r="2" spans="1:16">
      <c r="A2" t="s">
        <v>55</v>
      </c>
      <c r="B2" t="s">
        <v>367</v>
      </c>
      <c r="C2" s="41" t="s">
        <v>1345</v>
      </c>
      <c r="D2" t="s">
        <v>1342</v>
      </c>
      <c r="E2" t="s">
        <v>392</v>
      </c>
      <c r="F2" s="156" t="s">
        <v>1383</v>
      </c>
      <c r="G2" s="34" t="s">
        <v>1381</v>
      </c>
      <c r="H2" s="34" t="s">
        <v>1377</v>
      </c>
      <c r="I2" s="34" t="s">
        <v>367</v>
      </c>
      <c r="J2" s="34" t="s">
        <v>1378</v>
      </c>
      <c r="K2" s="34" t="s">
        <v>1379</v>
      </c>
      <c r="L2" s="157" t="s">
        <v>1380</v>
      </c>
      <c r="N2" s="164" t="s">
        <v>55</v>
      </c>
      <c r="O2" s="165" t="s">
        <v>352</v>
      </c>
      <c r="P2" s="166" t="s">
        <v>353</v>
      </c>
    </row>
    <row r="3" spans="1:16">
      <c r="A3" t="s">
        <v>1329</v>
      </c>
      <c r="B3" t="s">
        <v>187</v>
      </c>
      <c r="C3" s="41">
        <v>30</v>
      </c>
      <c r="D3" s="154">
        <v>241000309</v>
      </c>
      <c r="E3" s="160" t="s">
        <v>1375</v>
      </c>
      <c r="F3" s="158">
        <v>12</v>
      </c>
      <c r="G3" s="19">
        <v>68</v>
      </c>
      <c r="H3" s="19">
        <v>120</v>
      </c>
      <c r="I3" s="159">
        <v>50110023</v>
      </c>
      <c r="J3" s="159">
        <v>1</v>
      </c>
      <c r="K3" s="159" t="s">
        <v>1356</v>
      </c>
      <c r="L3" s="160" t="s">
        <v>1344</v>
      </c>
      <c r="N3" s="167" t="s">
        <v>126</v>
      </c>
      <c r="O3" s="39" t="s">
        <v>361</v>
      </c>
      <c r="P3" s="168" t="s">
        <v>362</v>
      </c>
    </row>
    <row r="4" spans="1:16">
      <c r="A4" t="s">
        <v>1350</v>
      </c>
      <c r="B4" t="s">
        <v>356</v>
      </c>
      <c r="C4" s="41">
        <v>2</v>
      </c>
      <c r="D4" s="154">
        <v>241000201</v>
      </c>
      <c r="E4" s="160" t="s">
        <v>705</v>
      </c>
      <c r="F4" s="158">
        <v>29</v>
      </c>
      <c r="G4" s="19">
        <v>68</v>
      </c>
      <c r="H4" s="19">
        <v>290</v>
      </c>
      <c r="I4" s="159">
        <v>50110125</v>
      </c>
      <c r="J4" s="159">
        <v>4</v>
      </c>
      <c r="K4" s="159" t="s">
        <v>1356</v>
      </c>
      <c r="L4" s="160" t="s">
        <v>1094</v>
      </c>
      <c r="N4" s="167" t="s">
        <v>385</v>
      </c>
      <c r="O4" s="39" t="s">
        <v>331</v>
      </c>
      <c r="P4" s="168" t="s">
        <v>1352</v>
      </c>
    </row>
    <row r="5" spans="1:16">
      <c r="A5" t="s">
        <v>380</v>
      </c>
      <c r="B5" t="s">
        <v>372</v>
      </c>
      <c r="C5" s="41">
        <v>1</v>
      </c>
      <c r="D5" s="154">
        <v>241000125</v>
      </c>
      <c r="E5" s="160" t="s">
        <v>585</v>
      </c>
      <c r="F5" s="158">
        <v>11</v>
      </c>
      <c r="G5" s="19">
        <v>68</v>
      </c>
      <c r="H5" s="19">
        <v>110</v>
      </c>
      <c r="I5" s="159">
        <v>50110860</v>
      </c>
      <c r="J5" s="159">
        <v>1</v>
      </c>
      <c r="K5" s="159" t="s">
        <v>1356</v>
      </c>
      <c r="L5" s="160" t="s">
        <v>1343</v>
      </c>
      <c r="N5" s="167" t="s">
        <v>385</v>
      </c>
      <c r="O5" s="39" t="s">
        <v>325</v>
      </c>
      <c r="P5" s="168" t="s">
        <v>1351</v>
      </c>
    </row>
    <row r="6" spans="1:16">
      <c r="A6" t="s">
        <v>380</v>
      </c>
      <c r="B6" t="s">
        <v>371</v>
      </c>
      <c r="C6" s="41">
        <v>1</v>
      </c>
      <c r="D6" s="154">
        <v>241000118</v>
      </c>
      <c r="E6" s="160" t="s">
        <v>576</v>
      </c>
      <c r="F6" s="158">
        <v>7</v>
      </c>
      <c r="G6" s="19">
        <v>68</v>
      </c>
      <c r="H6" s="19">
        <v>70</v>
      </c>
      <c r="I6" s="159">
        <v>50111204</v>
      </c>
      <c r="J6" s="159">
        <v>4</v>
      </c>
      <c r="K6" s="159" t="s">
        <v>1356</v>
      </c>
      <c r="L6" s="160" t="s">
        <v>1360</v>
      </c>
      <c r="N6" s="167" t="s">
        <v>129</v>
      </c>
      <c r="O6" s="39" t="s">
        <v>357</v>
      </c>
      <c r="P6" s="168" t="s">
        <v>388</v>
      </c>
    </row>
    <row r="7" spans="1:16">
      <c r="A7" t="s">
        <v>380</v>
      </c>
      <c r="B7" t="s">
        <v>377</v>
      </c>
      <c r="C7" s="41">
        <v>1</v>
      </c>
      <c r="D7" s="154">
        <v>50110023</v>
      </c>
      <c r="E7" s="172" t="s">
        <v>1344</v>
      </c>
      <c r="F7" s="158">
        <v>26</v>
      </c>
      <c r="G7" s="19">
        <v>68</v>
      </c>
      <c r="H7" s="19">
        <v>260</v>
      </c>
      <c r="I7" s="159">
        <v>50111400</v>
      </c>
      <c r="J7" s="159">
        <v>6</v>
      </c>
      <c r="K7" s="159" t="s">
        <v>1356</v>
      </c>
      <c r="L7" s="172" t="s">
        <v>1372</v>
      </c>
      <c r="N7" s="167" t="s">
        <v>129</v>
      </c>
      <c r="O7" s="39" t="s">
        <v>364</v>
      </c>
      <c r="P7" s="168" t="s">
        <v>1353</v>
      </c>
    </row>
    <row r="8" spans="1:16">
      <c r="A8" t="s">
        <v>380</v>
      </c>
      <c r="B8" t="s">
        <v>369</v>
      </c>
      <c r="C8" s="41">
        <v>1</v>
      </c>
      <c r="D8" s="154">
        <v>241000185</v>
      </c>
      <c r="E8" s="160" t="s">
        <v>1366</v>
      </c>
      <c r="F8" s="158">
        <v>15</v>
      </c>
      <c r="G8" s="19">
        <v>68</v>
      </c>
      <c r="H8" s="19">
        <v>150</v>
      </c>
      <c r="I8" s="159">
        <v>50111404</v>
      </c>
      <c r="J8" s="159">
        <v>15</v>
      </c>
      <c r="K8" s="159" t="s">
        <v>1356</v>
      </c>
      <c r="L8" s="160" t="s">
        <v>1365</v>
      </c>
      <c r="N8" s="167" t="s">
        <v>125</v>
      </c>
      <c r="O8" s="39" t="s">
        <v>328</v>
      </c>
      <c r="P8" s="168"/>
    </row>
    <row r="9" spans="1:16">
      <c r="A9" t="s">
        <v>380</v>
      </c>
      <c r="B9" t="s">
        <v>373</v>
      </c>
      <c r="C9" s="41">
        <v>1</v>
      </c>
      <c r="D9" s="154">
        <v>241000122</v>
      </c>
      <c r="E9" s="160" t="s">
        <v>581</v>
      </c>
      <c r="F9" s="158">
        <v>14</v>
      </c>
      <c r="G9" s="19">
        <v>68</v>
      </c>
      <c r="H9" s="19">
        <v>140</v>
      </c>
      <c r="I9" s="159">
        <v>50112048</v>
      </c>
      <c r="J9" s="159">
        <v>2</v>
      </c>
      <c r="K9" s="159" t="s">
        <v>1356</v>
      </c>
      <c r="L9" s="160" t="s">
        <v>1364</v>
      </c>
      <c r="N9" s="167" t="s">
        <v>125</v>
      </c>
      <c r="O9" s="39" t="s">
        <v>323</v>
      </c>
      <c r="P9" s="168"/>
    </row>
    <row r="10" spans="1:16">
      <c r="A10" t="s">
        <v>380</v>
      </c>
      <c r="B10" t="s">
        <v>370</v>
      </c>
      <c r="C10" s="41">
        <v>1</v>
      </c>
      <c r="D10" s="154">
        <v>241000199</v>
      </c>
      <c r="E10" s="160" t="s">
        <v>703</v>
      </c>
      <c r="F10" s="158">
        <v>24</v>
      </c>
      <c r="G10" s="19">
        <v>68</v>
      </c>
      <c r="H10" s="19">
        <v>240</v>
      </c>
      <c r="I10" s="159">
        <v>50112205</v>
      </c>
      <c r="J10" s="159">
        <v>8</v>
      </c>
      <c r="K10" s="159" t="s">
        <v>1356</v>
      </c>
      <c r="L10" s="160" t="s">
        <v>1371</v>
      </c>
      <c r="N10" s="167" t="s">
        <v>125</v>
      </c>
      <c r="O10" s="39" t="s">
        <v>354</v>
      </c>
      <c r="P10" s="168" t="s">
        <v>355</v>
      </c>
    </row>
    <row r="11" spans="1:16">
      <c r="A11" t="s">
        <v>1348</v>
      </c>
      <c r="B11" t="s">
        <v>356</v>
      </c>
      <c r="C11" s="41">
        <v>4</v>
      </c>
      <c r="D11" s="154">
        <v>50110125</v>
      </c>
      <c r="E11" s="160" t="s">
        <v>1094</v>
      </c>
      <c r="F11" s="158">
        <v>20</v>
      </c>
      <c r="G11" s="19">
        <v>68</v>
      </c>
      <c r="H11" s="19">
        <v>200</v>
      </c>
      <c r="I11" s="159">
        <v>50112229</v>
      </c>
      <c r="J11" s="159">
        <v>2</v>
      </c>
      <c r="K11" s="159" t="s">
        <v>1356</v>
      </c>
      <c r="L11" s="160" t="s">
        <v>1237</v>
      </c>
      <c r="N11" s="167" t="s">
        <v>125</v>
      </c>
      <c r="O11" s="39" t="s">
        <v>334</v>
      </c>
      <c r="P11" s="168" t="s">
        <v>363</v>
      </c>
    </row>
    <row r="12" spans="1:16">
      <c r="A12" t="s">
        <v>379</v>
      </c>
      <c r="B12" t="s">
        <v>371</v>
      </c>
      <c r="C12" s="41">
        <v>4</v>
      </c>
      <c r="D12" s="154">
        <v>50111204</v>
      </c>
      <c r="E12" s="160" t="s">
        <v>1360</v>
      </c>
      <c r="F12" s="158">
        <v>5</v>
      </c>
      <c r="G12" s="19">
        <v>68</v>
      </c>
      <c r="H12" s="19">
        <v>50</v>
      </c>
      <c r="I12" s="159">
        <v>50112244</v>
      </c>
      <c r="J12" s="159">
        <v>1</v>
      </c>
      <c r="K12" s="159" t="s">
        <v>1356</v>
      </c>
      <c r="L12" s="160" t="s">
        <v>1382</v>
      </c>
      <c r="N12" s="167" t="s">
        <v>125</v>
      </c>
      <c r="O12" s="39" t="s">
        <v>335</v>
      </c>
      <c r="P12" s="168" t="s">
        <v>386</v>
      </c>
    </row>
    <row r="13" spans="1:16">
      <c r="A13" t="s">
        <v>381</v>
      </c>
      <c r="B13" t="s">
        <v>372</v>
      </c>
      <c r="C13" s="41">
        <v>1</v>
      </c>
      <c r="D13" s="154">
        <v>241000126</v>
      </c>
      <c r="E13" s="160" t="s">
        <v>1357</v>
      </c>
      <c r="F13" s="158">
        <v>18</v>
      </c>
      <c r="G13" s="19">
        <v>68</v>
      </c>
      <c r="H13" s="19">
        <v>180</v>
      </c>
      <c r="I13" s="159">
        <v>241000071</v>
      </c>
      <c r="J13" s="159">
        <v>2</v>
      </c>
      <c r="K13" s="159" t="s">
        <v>1356</v>
      </c>
      <c r="L13" s="160" t="s">
        <v>1368</v>
      </c>
      <c r="N13" s="167" t="s">
        <v>125</v>
      </c>
      <c r="O13" s="39" t="s">
        <v>329</v>
      </c>
      <c r="P13" s="168" t="s">
        <v>358</v>
      </c>
    </row>
    <row r="14" spans="1:16">
      <c r="A14" t="s">
        <v>381</v>
      </c>
      <c r="B14" t="s">
        <v>369</v>
      </c>
      <c r="C14" s="41">
        <v>9</v>
      </c>
      <c r="D14" s="154">
        <v>241000179</v>
      </c>
      <c r="E14" s="160" t="s">
        <v>1367</v>
      </c>
      <c r="F14" s="158">
        <v>22</v>
      </c>
      <c r="G14" s="19">
        <v>68</v>
      </c>
      <c r="H14" s="19">
        <v>220</v>
      </c>
      <c r="I14" s="159">
        <v>241000072</v>
      </c>
      <c r="J14" s="159">
        <v>1</v>
      </c>
      <c r="K14" s="159" t="s">
        <v>1356</v>
      </c>
      <c r="L14" s="160" t="s">
        <v>523</v>
      </c>
      <c r="N14" s="167" t="s">
        <v>125</v>
      </c>
      <c r="O14" s="39" t="s">
        <v>330</v>
      </c>
      <c r="P14" s="168" t="s">
        <v>359</v>
      </c>
    </row>
    <row r="15" spans="1:16">
      <c r="A15" t="s">
        <v>381</v>
      </c>
      <c r="B15" t="s">
        <v>370</v>
      </c>
      <c r="C15" s="41">
        <v>6</v>
      </c>
      <c r="D15" s="154">
        <v>50111400</v>
      </c>
      <c r="E15" s="160" t="s">
        <v>1372</v>
      </c>
      <c r="F15" s="158">
        <v>13</v>
      </c>
      <c r="G15" s="19">
        <v>68</v>
      </c>
      <c r="H15" s="19">
        <v>130</v>
      </c>
      <c r="I15" s="159">
        <v>241000082</v>
      </c>
      <c r="J15" s="159">
        <v>2</v>
      </c>
      <c r="K15" s="159" t="s">
        <v>1356</v>
      </c>
      <c r="L15" s="160" t="s">
        <v>1363</v>
      </c>
      <c r="N15" s="167" t="s">
        <v>125</v>
      </c>
      <c r="O15" s="39" t="s">
        <v>332</v>
      </c>
      <c r="P15" s="168" t="s">
        <v>358</v>
      </c>
    </row>
    <row r="16" spans="1:16">
      <c r="A16" t="s">
        <v>186</v>
      </c>
      <c r="B16" t="s">
        <v>371</v>
      </c>
      <c r="C16" s="41">
        <v>5</v>
      </c>
      <c r="D16" s="154">
        <v>241000198</v>
      </c>
      <c r="E16" s="160" t="s">
        <v>1361</v>
      </c>
      <c r="F16" s="158">
        <v>1</v>
      </c>
      <c r="G16" s="19">
        <v>68</v>
      </c>
      <c r="H16" s="19">
        <v>10</v>
      </c>
      <c r="I16" s="159">
        <v>241000094</v>
      </c>
      <c r="J16" s="159">
        <v>4</v>
      </c>
      <c r="K16" s="159" t="s">
        <v>1356</v>
      </c>
      <c r="L16" s="160" t="s">
        <v>1355</v>
      </c>
      <c r="N16" s="167" t="s">
        <v>125</v>
      </c>
      <c r="O16" s="39" t="s">
        <v>333</v>
      </c>
      <c r="P16" s="168" t="s">
        <v>360</v>
      </c>
    </row>
    <row r="17" spans="1:16">
      <c r="A17" t="s">
        <v>186</v>
      </c>
      <c r="B17" t="s">
        <v>382</v>
      </c>
      <c r="C17" s="41">
        <v>1</v>
      </c>
      <c r="D17" s="154">
        <v>241000101</v>
      </c>
      <c r="E17" s="160" t="s">
        <v>1362</v>
      </c>
      <c r="F17" s="158">
        <v>27</v>
      </c>
      <c r="G17" s="19">
        <v>68</v>
      </c>
      <c r="H17" s="19">
        <v>270</v>
      </c>
      <c r="I17" s="159">
        <v>241000100</v>
      </c>
      <c r="J17" s="159">
        <v>6</v>
      </c>
      <c r="K17" s="159" t="s">
        <v>1356</v>
      </c>
      <c r="L17" s="160" t="s">
        <v>556</v>
      </c>
      <c r="N17" s="167" t="s">
        <v>125</v>
      </c>
      <c r="O17" s="39" t="s">
        <v>321</v>
      </c>
      <c r="P17" s="168" t="s">
        <v>356</v>
      </c>
    </row>
    <row r="18" spans="1:16">
      <c r="A18" t="s">
        <v>186</v>
      </c>
      <c r="B18" t="s">
        <v>377</v>
      </c>
      <c r="C18" s="41">
        <v>2</v>
      </c>
      <c r="D18" s="154">
        <v>241000082</v>
      </c>
      <c r="E18" s="160" t="s">
        <v>1363</v>
      </c>
      <c r="F18" s="158">
        <v>10</v>
      </c>
      <c r="G18" s="19">
        <v>68</v>
      </c>
      <c r="H18" s="19">
        <v>100</v>
      </c>
      <c r="I18" s="159">
        <v>241000101</v>
      </c>
      <c r="J18" s="159">
        <v>1</v>
      </c>
      <c r="K18" s="159" t="s">
        <v>1356</v>
      </c>
      <c r="L18" s="160" t="s">
        <v>1362</v>
      </c>
      <c r="N18" s="167" t="s">
        <v>125</v>
      </c>
      <c r="O18" s="39" t="s">
        <v>322</v>
      </c>
      <c r="P18" s="168" t="s">
        <v>1354</v>
      </c>
    </row>
    <row r="19" spans="1:16">
      <c r="A19" t="s">
        <v>186</v>
      </c>
      <c r="B19" t="s">
        <v>369</v>
      </c>
      <c r="C19" s="41">
        <v>2</v>
      </c>
      <c r="D19" s="154">
        <v>241000071</v>
      </c>
      <c r="E19" s="160" t="s">
        <v>1368</v>
      </c>
      <c r="F19" s="158">
        <v>23</v>
      </c>
      <c r="G19" s="19">
        <v>68</v>
      </c>
      <c r="H19" s="19">
        <v>230</v>
      </c>
      <c r="I19" s="159">
        <v>241000109</v>
      </c>
      <c r="J19" s="159">
        <v>2</v>
      </c>
      <c r="K19" s="159" t="s">
        <v>1356</v>
      </c>
      <c r="L19" s="160" t="s">
        <v>1370</v>
      </c>
      <c r="N19" s="167" t="s">
        <v>125</v>
      </c>
      <c r="O19" s="39" t="s">
        <v>324</v>
      </c>
      <c r="P19" s="168" t="s">
        <v>387</v>
      </c>
    </row>
    <row r="20" spans="1:16">
      <c r="A20" t="s">
        <v>186</v>
      </c>
      <c r="B20" t="s">
        <v>373</v>
      </c>
      <c r="C20" s="41">
        <v>1</v>
      </c>
      <c r="D20" s="154">
        <v>241000072</v>
      </c>
      <c r="E20" s="160" t="s">
        <v>523</v>
      </c>
      <c r="F20" s="158">
        <v>4</v>
      </c>
      <c r="G20" s="19">
        <v>68</v>
      </c>
      <c r="H20" s="19">
        <v>40</v>
      </c>
      <c r="I20" s="159">
        <v>241000116</v>
      </c>
      <c r="J20" s="159">
        <v>2</v>
      </c>
      <c r="K20" s="159" t="s">
        <v>1356</v>
      </c>
      <c r="L20" s="160" t="s">
        <v>1358</v>
      </c>
      <c r="N20" s="167" t="s">
        <v>125</v>
      </c>
      <c r="O20" s="39" t="s">
        <v>326</v>
      </c>
      <c r="P20" s="168" t="s">
        <v>365</v>
      </c>
    </row>
    <row r="21" spans="1:16">
      <c r="A21" t="s">
        <v>186</v>
      </c>
      <c r="B21" t="s">
        <v>370</v>
      </c>
      <c r="C21" s="41">
        <v>6</v>
      </c>
      <c r="D21" s="154">
        <v>241000100</v>
      </c>
      <c r="E21" s="160" t="s">
        <v>556</v>
      </c>
      <c r="F21" s="158">
        <v>19</v>
      </c>
      <c r="G21" s="19">
        <v>68</v>
      </c>
      <c r="H21" s="19">
        <v>190</v>
      </c>
      <c r="I21" s="159">
        <v>241000117</v>
      </c>
      <c r="J21" s="159">
        <v>16</v>
      </c>
      <c r="K21" s="159" t="s">
        <v>1356</v>
      </c>
      <c r="L21" s="160" t="s">
        <v>1369</v>
      </c>
      <c r="N21" s="169" t="s">
        <v>125</v>
      </c>
      <c r="O21" s="170" t="s">
        <v>327</v>
      </c>
      <c r="P21" s="171" t="s">
        <v>366</v>
      </c>
    </row>
    <row r="22" spans="1:16">
      <c r="A22" t="s">
        <v>1349</v>
      </c>
      <c r="B22" t="s">
        <v>356</v>
      </c>
      <c r="C22" s="41">
        <v>2</v>
      </c>
      <c r="D22" s="154">
        <v>241000200</v>
      </c>
      <c r="E22" s="160" t="s">
        <v>1374</v>
      </c>
      <c r="F22" s="158">
        <v>8</v>
      </c>
      <c r="G22" s="19">
        <v>68</v>
      </c>
      <c r="H22" s="19">
        <v>80</v>
      </c>
      <c r="I22" s="159">
        <v>241000118</v>
      </c>
      <c r="J22" s="159">
        <v>1</v>
      </c>
      <c r="K22" s="159" t="s">
        <v>1356</v>
      </c>
      <c r="L22" s="160" t="s">
        <v>576</v>
      </c>
    </row>
    <row r="23" spans="1:16">
      <c r="A23" t="s">
        <v>1347</v>
      </c>
      <c r="B23" t="s">
        <v>356</v>
      </c>
      <c r="C23" s="41">
        <v>15</v>
      </c>
      <c r="D23" s="154">
        <v>241000194</v>
      </c>
      <c r="E23" s="160" t="s">
        <v>1373</v>
      </c>
      <c r="F23" s="158">
        <v>21</v>
      </c>
      <c r="G23" s="19">
        <v>68</v>
      </c>
      <c r="H23" s="19">
        <v>210</v>
      </c>
      <c r="I23" s="159">
        <v>241000122</v>
      </c>
      <c r="J23" s="159">
        <v>1</v>
      </c>
      <c r="K23" s="159" t="s">
        <v>1356</v>
      </c>
      <c r="L23" s="160" t="s">
        <v>581</v>
      </c>
    </row>
    <row r="24" spans="1:16">
      <c r="A24" t="s">
        <v>368</v>
      </c>
      <c r="B24" t="s">
        <v>372</v>
      </c>
      <c r="C24" s="41">
        <v>4</v>
      </c>
      <c r="D24" s="154">
        <v>241000094</v>
      </c>
      <c r="E24" s="160" t="s">
        <v>1355</v>
      </c>
      <c r="F24" s="158">
        <v>2</v>
      </c>
      <c r="G24" s="19">
        <v>68</v>
      </c>
      <c r="H24" s="19">
        <v>20</v>
      </c>
      <c r="I24" s="159">
        <v>241000125</v>
      </c>
      <c r="J24" s="159">
        <v>1</v>
      </c>
      <c r="K24" s="159" t="s">
        <v>1356</v>
      </c>
      <c r="L24" s="160" t="s">
        <v>585</v>
      </c>
    </row>
    <row r="25" spans="1:16">
      <c r="A25" t="s">
        <v>368</v>
      </c>
      <c r="B25" t="s">
        <v>374</v>
      </c>
      <c r="C25" s="41">
        <v>2</v>
      </c>
      <c r="D25" s="154">
        <v>241000116</v>
      </c>
      <c r="E25" s="160" t="s">
        <v>1358</v>
      </c>
      <c r="F25" s="158">
        <v>3</v>
      </c>
      <c r="G25" s="19">
        <v>68</v>
      </c>
      <c r="H25" s="19">
        <v>30</v>
      </c>
      <c r="I25" s="159">
        <v>241000126</v>
      </c>
      <c r="J25" s="159">
        <v>1</v>
      </c>
      <c r="K25" s="159" t="s">
        <v>1356</v>
      </c>
      <c r="L25" s="160" t="s">
        <v>1357</v>
      </c>
    </row>
    <row r="26" spans="1:16">
      <c r="A26" t="s">
        <v>368</v>
      </c>
      <c r="B26" t="s">
        <v>1346</v>
      </c>
      <c r="C26" s="41">
        <v>16</v>
      </c>
      <c r="D26" s="154">
        <v>241000117</v>
      </c>
      <c r="E26" s="160" t="s">
        <v>1369</v>
      </c>
      <c r="F26" s="158">
        <v>17</v>
      </c>
      <c r="G26" s="19">
        <v>68</v>
      </c>
      <c r="H26" s="19">
        <v>170</v>
      </c>
      <c r="I26" s="159">
        <v>241000179</v>
      </c>
      <c r="J26" s="159">
        <v>9</v>
      </c>
      <c r="K26" s="159" t="s">
        <v>1356</v>
      </c>
      <c r="L26" s="160" t="s">
        <v>1367</v>
      </c>
    </row>
    <row r="27" spans="1:16">
      <c r="A27" t="s">
        <v>368</v>
      </c>
      <c r="B27" t="s">
        <v>378</v>
      </c>
      <c r="C27" s="41">
        <v>1</v>
      </c>
      <c r="D27" s="155">
        <v>50112244</v>
      </c>
      <c r="E27" s="160" t="s">
        <v>1382</v>
      </c>
      <c r="F27" s="158">
        <v>16</v>
      </c>
      <c r="G27" s="19">
        <v>68</v>
      </c>
      <c r="H27" s="19">
        <v>160</v>
      </c>
      <c r="I27" s="159">
        <v>241000185</v>
      </c>
      <c r="J27" s="159">
        <v>1</v>
      </c>
      <c r="K27" s="159" t="s">
        <v>1356</v>
      </c>
      <c r="L27" s="160" t="s">
        <v>1366</v>
      </c>
    </row>
    <row r="28" spans="1:16">
      <c r="A28" t="s">
        <v>368</v>
      </c>
      <c r="B28" t="s">
        <v>371</v>
      </c>
      <c r="C28" s="41">
        <v>4</v>
      </c>
      <c r="D28" s="154">
        <v>241000187</v>
      </c>
      <c r="E28" s="160" t="s">
        <v>1359</v>
      </c>
      <c r="F28" s="158">
        <v>6</v>
      </c>
      <c r="G28" s="19">
        <v>68</v>
      </c>
      <c r="H28" s="19">
        <v>60</v>
      </c>
      <c r="I28" s="159">
        <v>241000187</v>
      </c>
      <c r="J28" s="159">
        <v>4</v>
      </c>
      <c r="K28" s="159" t="s">
        <v>1356</v>
      </c>
      <c r="L28" s="160" t="s">
        <v>1359</v>
      </c>
    </row>
    <row r="29" spans="1:16">
      <c r="A29" t="s">
        <v>368</v>
      </c>
      <c r="B29" t="s">
        <v>377</v>
      </c>
      <c r="C29" s="41">
        <v>1</v>
      </c>
      <c r="D29" s="154">
        <v>50110860</v>
      </c>
      <c r="E29" s="160" t="s">
        <v>1343</v>
      </c>
      <c r="F29" s="158">
        <v>28</v>
      </c>
      <c r="G29" s="19">
        <v>68</v>
      </c>
      <c r="H29" s="19">
        <v>280</v>
      </c>
      <c r="I29" s="159">
        <v>241000194</v>
      </c>
      <c r="J29" s="159">
        <v>15</v>
      </c>
      <c r="K29" s="159" t="s">
        <v>1356</v>
      </c>
      <c r="L29" s="160" t="s">
        <v>1373</v>
      </c>
    </row>
    <row r="30" spans="1:16">
      <c r="A30" t="s">
        <v>368</v>
      </c>
      <c r="B30" t="s">
        <v>375</v>
      </c>
      <c r="C30" s="41">
        <v>2</v>
      </c>
      <c r="D30" s="154">
        <v>50112048</v>
      </c>
      <c r="E30" s="160" t="s">
        <v>1364</v>
      </c>
      <c r="F30" s="158">
        <v>9</v>
      </c>
      <c r="G30" s="19">
        <v>68</v>
      </c>
      <c r="H30" s="19">
        <v>90</v>
      </c>
      <c r="I30" s="159">
        <v>241000198</v>
      </c>
      <c r="J30" s="159">
        <v>5</v>
      </c>
      <c r="K30" s="159" t="s">
        <v>1356</v>
      </c>
      <c r="L30" s="160" t="s">
        <v>1361</v>
      </c>
    </row>
    <row r="31" spans="1:16">
      <c r="A31" t="s">
        <v>368</v>
      </c>
      <c r="B31" t="s">
        <v>369</v>
      </c>
      <c r="C31" s="41">
        <v>15</v>
      </c>
      <c r="D31" s="154">
        <v>50111404</v>
      </c>
      <c r="E31" s="160" t="s">
        <v>1365</v>
      </c>
      <c r="F31" s="158">
        <v>25</v>
      </c>
      <c r="G31" s="19">
        <v>68</v>
      </c>
      <c r="H31" s="19">
        <v>250</v>
      </c>
      <c r="I31" s="159">
        <v>241000199</v>
      </c>
      <c r="J31" s="159">
        <v>1</v>
      </c>
      <c r="K31" s="159" t="s">
        <v>1356</v>
      </c>
      <c r="L31" s="160" t="s">
        <v>703</v>
      </c>
    </row>
    <row r="32" spans="1:16">
      <c r="A32" t="s">
        <v>368</v>
      </c>
      <c r="B32" t="s">
        <v>373</v>
      </c>
      <c r="C32" s="41">
        <v>2</v>
      </c>
      <c r="D32" s="154">
        <v>50112229</v>
      </c>
      <c r="E32" s="160" t="s">
        <v>1237</v>
      </c>
      <c r="F32" s="158">
        <v>30</v>
      </c>
      <c r="G32" s="19">
        <v>68</v>
      </c>
      <c r="H32" s="19">
        <v>300</v>
      </c>
      <c r="I32" s="159">
        <v>241000200</v>
      </c>
      <c r="J32" s="159">
        <v>2</v>
      </c>
      <c r="K32" s="159" t="s">
        <v>1356</v>
      </c>
      <c r="L32" s="160" t="s">
        <v>1374</v>
      </c>
    </row>
    <row r="33" spans="1:12">
      <c r="A33" t="s">
        <v>368</v>
      </c>
      <c r="B33" t="s">
        <v>376</v>
      </c>
      <c r="C33" s="41">
        <v>2</v>
      </c>
      <c r="D33" s="154">
        <v>241000109</v>
      </c>
      <c r="E33" s="160" t="s">
        <v>1370</v>
      </c>
      <c r="F33" s="158">
        <v>31</v>
      </c>
      <c r="G33" s="19">
        <v>68</v>
      </c>
      <c r="H33" s="19">
        <v>310</v>
      </c>
      <c r="I33" s="159">
        <v>241000201</v>
      </c>
      <c r="J33" s="159">
        <v>2</v>
      </c>
      <c r="K33" s="159" t="s">
        <v>1356</v>
      </c>
      <c r="L33" s="160" t="s">
        <v>705</v>
      </c>
    </row>
    <row r="34" spans="1:12">
      <c r="A34" t="s">
        <v>368</v>
      </c>
      <c r="B34" t="s">
        <v>370</v>
      </c>
      <c r="C34" s="41">
        <v>8</v>
      </c>
      <c r="D34" s="154">
        <v>50112205</v>
      </c>
      <c r="E34" s="163" t="s">
        <v>1371</v>
      </c>
      <c r="F34" s="161">
        <v>32</v>
      </c>
      <c r="G34" s="30">
        <v>68</v>
      </c>
      <c r="H34" s="30">
        <v>320</v>
      </c>
      <c r="I34" s="162">
        <v>241000309</v>
      </c>
      <c r="J34" s="162">
        <v>30</v>
      </c>
      <c r="K34" s="162" t="s">
        <v>1376</v>
      </c>
      <c r="L34" s="163" t="s">
        <v>1375</v>
      </c>
    </row>
    <row r="35" spans="1:12">
      <c r="C35" s="125"/>
      <c r="D35" s="127"/>
    </row>
    <row r="36" spans="1:12">
      <c r="A36" s="173" t="s">
        <v>384</v>
      </c>
      <c r="B36" s="173"/>
      <c r="C36" s="173"/>
    </row>
    <row r="37" spans="1:12">
      <c r="A37" s="123" t="s">
        <v>55</v>
      </c>
      <c r="B37" s="123" t="s">
        <v>352</v>
      </c>
      <c r="C37" s="123" t="s">
        <v>353</v>
      </c>
    </row>
    <row r="38" spans="1:12">
      <c r="A38" s="124" t="s">
        <v>126</v>
      </c>
      <c r="B38" s="53" t="s">
        <v>361</v>
      </c>
      <c r="C38" s="53" t="s">
        <v>362</v>
      </c>
    </row>
    <row r="39" spans="1:12">
      <c r="A39" s="124" t="s">
        <v>385</v>
      </c>
      <c r="B39" s="53" t="s">
        <v>331</v>
      </c>
      <c r="C39" s="53" t="s">
        <v>1352</v>
      </c>
    </row>
    <row r="40" spans="1:12">
      <c r="A40" s="124" t="s">
        <v>385</v>
      </c>
      <c r="B40" s="53" t="s">
        <v>325</v>
      </c>
      <c r="C40" s="53" t="s">
        <v>1351</v>
      </c>
    </row>
    <row r="41" spans="1:12">
      <c r="A41" s="124" t="s">
        <v>129</v>
      </c>
      <c r="B41" s="53" t="s">
        <v>357</v>
      </c>
      <c r="C41" s="53" t="s">
        <v>388</v>
      </c>
    </row>
    <row r="42" spans="1:12">
      <c r="A42" s="124" t="s">
        <v>129</v>
      </c>
      <c r="B42" s="53" t="s">
        <v>364</v>
      </c>
      <c r="C42" s="53" t="s">
        <v>1353</v>
      </c>
    </row>
    <row r="43" spans="1:12">
      <c r="A43" s="124" t="s">
        <v>125</v>
      </c>
      <c r="B43" s="53" t="s">
        <v>328</v>
      </c>
      <c r="C43" s="53"/>
    </row>
    <row r="44" spans="1:12">
      <c r="A44" s="124" t="s">
        <v>125</v>
      </c>
      <c r="B44" s="53" t="s">
        <v>323</v>
      </c>
      <c r="C44" s="53"/>
    </row>
    <row r="45" spans="1:12">
      <c r="A45" s="124" t="s">
        <v>125</v>
      </c>
      <c r="B45" s="53" t="s">
        <v>354</v>
      </c>
      <c r="C45" s="53" t="s">
        <v>355</v>
      </c>
    </row>
    <row r="46" spans="1:12">
      <c r="A46" s="124" t="s">
        <v>125</v>
      </c>
      <c r="B46" s="53" t="s">
        <v>334</v>
      </c>
      <c r="C46" s="53" t="s">
        <v>363</v>
      </c>
    </row>
    <row r="47" spans="1:12">
      <c r="A47" s="124" t="s">
        <v>125</v>
      </c>
      <c r="B47" s="53" t="s">
        <v>335</v>
      </c>
      <c r="C47" s="53" t="s">
        <v>386</v>
      </c>
    </row>
    <row r="48" spans="1:12">
      <c r="A48" s="124" t="s">
        <v>125</v>
      </c>
      <c r="B48" s="53" t="s">
        <v>329</v>
      </c>
      <c r="C48" s="53" t="s">
        <v>358</v>
      </c>
    </row>
    <row r="49" spans="1:3">
      <c r="A49" s="124" t="s">
        <v>125</v>
      </c>
      <c r="B49" s="53" t="s">
        <v>330</v>
      </c>
      <c r="C49" s="53" t="s">
        <v>359</v>
      </c>
    </row>
    <row r="50" spans="1:3">
      <c r="A50" s="124" t="s">
        <v>125</v>
      </c>
      <c r="B50" s="53" t="s">
        <v>332</v>
      </c>
      <c r="C50" s="53" t="s">
        <v>358</v>
      </c>
    </row>
    <row r="51" spans="1:3">
      <c r="A51" s="124" t="s">
        <v>125</v>
      </c>
      <c r="B51" s="53" t="s">
        <v>333</v>
      </c>
      <c r="C51" s="53" t="s">
        <v>360</v>
      </c>
    </row>
    <row r="52" spans="1:3">
      <c r="A52" s="124" t="s">
        <v>125</v>
      </c>
      <c r="B52" s="53" t="s">
        <v>321</v>
      </c>
      <c r="C52" s="53" t="s">
        <v>356</v>
      </c>
    </row>
    <row r="53" spans="1:3">
      <c r="A53" s="124" t="s">
        <v>125</v>
      </c>
      <c r="B53" s="53" t="s">
        <v>322</v>
      </c>
      <c r="C53" s="53" t="s">
        <v>1354</v>
      </c>
    </row>
    <row r="54" spans="1:3">
      <c r="A54" s="124" t="s">
        <v>125</v>
      </c>
      <c r="B54" s="53" t="s">
        <v>324</v>
      </c>
      <c r="C54" s="53" t="s">
        <v>387</v>
      </c>
    </row>
    <row r="55" spans="1:3">
      <c r="A55" s="124" t="s">
        <v>125</v>
      </c>
      <c r="B55" s="53" t="s">
        <v>326</v>
      </c>
      <c r="C55" s="53" t="s">
        <v>365</v>
      </c>
    </row>
    <row r="56" spans="1:3">
      <c r="A56" s="124" t="s">
        <v>125</v>
      </c>
      <c r="B56" s="53" t="s">
        <v>327</v>
      </c>
      <c r="C56" s="53" t="s">
        <v>366</v>
      </c>
    </row>
  </sheetData>
  <mergeCells count="4">
    <mergeCell ref="A1:E1"/>
    <mergeCell ref="A36:C36"/>
    <mergeCell ref="N1:P1"/>
    <mergeCell ref="F1:L1"/>
  </mergeCells>
  <phoneticPr fontId="10" type="noConversion"/>
  <pageMargins left="0.25" right="0.25" top="0.75" bottom="0.75" header="0.3" footer="0.3"/>
  <pageSetup scale="38" orientation="landscape" r:id="rId1"/>
  <tableParts count="4"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0B1B0-E93F-4CEA-A73A-10A335D44914}">
  <dimension ref="B2:W200"/>
  <sheetViews>
    <sheetView workbookViewId="0">
      <selection activeCell="N45" sqref="N45"/>
    </sheetView>
  </sheetViews>
  <sheetFormatPr defaultRowHeight="15"/>
  <cols>
    <col min="2" max="7" width="29.42578125" customWidth="1"/>
    <col min="8" max="8" width="16.42578125" bestFit="1" customWidth="1"/>
    <col min="9" max="9" width="13" bestFit="1" customWidth="1"/>
    <col min="10" max="10" width="15.42578125" bestFit="1" customWidth="1"/>
    <col min="11" max="11" width="13.85546875" bestFit="1" customWidth="1"/>
    <col min="12" max="12" width="14.85546875" bestFit="1" customWidth="1"/>
    <col min="13" max="13" width="13" bestFit="1" customWidth="1"/>
    <col min="14" max="14" width="18.42578125" bestFit="1" customWidth="1"/>
    <col min="15" max="15" width="16.85546875" bestFit="1" customWidth="1"/>
    <col min="18" max="18" width="17" bestFit="1" customWidth="1"/>
    <col min="19" max="19" width="10" bestFit="1" customWidth="1"/>
    <col min="20" max="20" width="23.85546875" bestFit="1" customWidth="1"/>
    <col min="21" max="21" width="22.140625" bestFit="1" customWidth="1"/>
    <col min="22" max="22" width="17.5703125" bestFit="1" customWidth="1"/>
    <col min="23" max="23" width="15.7109375" bestFit="1" customWidth="1"/>
  </cols>
  <sheetData>
    <row r="2" spans="2:23">
      <c r="B2" s="177" t="s">
        <v>110</v>
      </c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R2" s="184" t="s">
        <v>211</v>
      </c>
      <c r="S2" s="185"/>
      <c r="T2" s="185"/>
      <c r="U2" s="185"/>
      <c r="V2" s="185"/>
      <c r="W2" s="186"/>
    </row>
    <row r="3" spans="2:23" ht="45">
      <c r="B3" s="21" t="s">
        <v>89</v>
      </c>
      <c r="C3" s="21" t="s">
        <v>90</v>
      </c>
      <c r="D3" s="21" t="s">
        <v>91</v>
      </c>
      <c r="E3" s="21" t="s">
        <v>92</v>
      </c>
      <c r="F3" s="21" t="s">
        <v>93</v>
      </c>
      <c r="G3" s="21" t="s">
        <v>94</v>
      </c>
      <c r="H3" s="21" t="s">
        <v>95</v>
      </c>
      <c r="I3" s="21" t="s">
        <v>96</v>
      </c>
      <c r="J3" s="21" t="s">
        <v>97</v>
      </c>
      <c r="K3" s="21" t="s">
        <v>98</v>
      </c>
      <c r="L3" s="21" t="s">
        <v>99</v>
      </c>
      <c r="M3" s="21" t="s">
        <v>100</v>
      </c>
      <c r="N3" s="21" t="s">
        <v>101</v>
      </c>
      <c r="O3" s="21" t="s">
        <v>102</v>
      </c>
      <c r="R3" s="38" t="s">
        <v>89</v>
      </c>
      <c r="S3" s="38" t="s">
        <v>90</v>
      </c>
      <c r="T3" s="38" t="s">
        <v>207</v>
      </c>
      <c r="U3" s="38" t="s">
        <v>208</v>
      </c>
      <c r="V3" s="38" t="s">
        <v>209</v>
      </c>
      <c r="W3" s="38" t="s">
        <v>210</v>
      </c>
    </row>
    <row r="4" spans="2:23">
      <c r="B4" s="22">
        <v>12</v>
      </c>
      <c r="C4" s="22" t="s">
        <v>103</v>
      </c>
      <c r="D4" s="22" t="s">
        <v>29</v>
      </c>
      <c r="E4" s="22" t="s">
        <v>29</v>
      </c>
      <c r="F4" s="22" t="s">
        <v>29</v>
      </c>
      <c r="G4" s="22" t="s">
        <v>29</v>
      </c>
      <c r="H4" s="22" t="s">
        <v>29</v>
      </c>
      <c r="I4" s="22" t="s">
        <v>29</v>
      </c>
      <c r="J4" s="22" t="s">
        <v>29</v>
      </c>
      <c r="K4" s="22" t="s">
        <v>29</v>
      </c>
      <c r="L4" s="22">
        <v>16.100000000000001</v>
      </c>
      <c r="M4" s="22">
        <v>0.63200000000000001</v>
      </c>
      <c r="N4" s="22">
        <v>204</v>
      </c>
      <c r="O4" s="22">
        <v>0.314</v>
      </c>
      <c r="R4" s="39">
        <v>16</v>
      </c>
      <c r="S4" s="40">
        <v>0.5</v>
      </c>
      <c r="T4" s="39">
        <v>101.6</v>
      </c>
      <c r="U4" s="39">
        <v>4</v>
      </c>
      <c r="V4" s="39">
        <v>101.6</v>
      </c>
      <c r="W4" s="39">
        <v>4</v>
      </c>
    </row>
    <row r="5" spans="2:23">
      <c r="B5" s="22">
        <v>16</v>
      </c>
      <c r="C5" s="22" t="s">
        <v>104</v>
      </c>
      <c r="D5" s="22">
        <v>81</v>
      </c>
      <c r="E5" s="22">
        <v>0.125</v>
      </c>
      <c r="F5" s="22">
        <v>122</v>
      </c>
      <c r="G5" s="22">
        <v>0.188</v>
      </c>
      <c r="H5" s="22">
        <v>107</v>
      </c>
      <c r="I5" s="22">
        <v>0.16600000000000001</v>
      </c>
      <c r="J5" s="22">
        <v>63</v>
      </c>
      <c r="K5" s="22">
        <v>9.7000000000000003E-2</v>
      </c>
      <c r="L5" s="22">
        <v>21</v>
      </c>
      <c r="M5" s="22">
        <v>0.83199999999999996</v>
      </c>
      <c r="N5" s="22">
        <v>204</v>
      </c>
      <c r="O5" s="22">
        <v>0.314</v>
      </c>
      <c r="R5" s="39">
        <v>21</v>
      </c>
      <c r="S5" s="40">
        <v>0.75</v>
      </c>
      <c r="T5" s="39">
        <v>114.3</v>
      </c>
      <c r="U5" s="39">
        <v>4.5</v>
      </c>
      <c r="V5" s="39">
        <v>127</v>
      </c>
      <c r="W5" s="39">
        <v>5</v>
      </c>
    </row>
    <row r="6" spans="2:23">
      <c r="B6" s="22">
        <v>21</v>
      </c>
      <c r="C6" s="22" t="s">
        <v>105</v>
      </c>
      <c r="D6" s="22">
        <v>141</v>
      </c>
      <c r="E6" s="22">
        <v>0.22</v>
      </c>
      <c r="F6" s="22">
        <v>212</v>
      </c>
      <c r="G6" s="22">
        <v>0.32800000000000001</v>
      </c>
      <c r="H6" s="22">
        <v>185</v>
      </c>
      <c r="I6" s="22">
        <v>0.29099999999999998</v>
      </c>
      <c r="J6" s="22">
        <v>109</v>
      </c>
      <c r="K6" s="22">
        <v>0.17</v>
      </c>
      <c r="L6" s="22">
        <v>21.2</v>
      </c>
      <c r="M6" s="22">
        <v>0.83599999999999997</v>
      </c>
      <c r="N6" s="22">
        <v>353</v>
      </c>
      <c r="O6" s="22">
        <v>0.54900000000000004</v>
      </c>
      <c r="R6" s="39">
        <v>27</v>
      </c>
      <c r="S6" s="40">
        <v>1</v>
      </c>
      <c r="T6" s="39">
        <v>146.05000000000001</v>
      </c>
      <c r="U6" s="39">
        <v>5.75</v>
      </c>
      <c r="V6" s="39">
        <v>152.4</v>
      </c>
      <c r="W6" s="39">
        <v>6</v>
      </c>
    </row>
    <row r="7" spans="2:23">
      <c r="B7" s="22">
        <v>27</v>
      </c>
      <c r="C7" s="22">
        <v>1</v>
      </c>
      <c r="D7" s="22">
        <v>229</v>
      </c>
      <c r="E7" s="22">
        <v>0.35499999999999998</v>
      </c>
      <c r="F7" s="22">
        <v>344</v>
      </c>
      <c r="G7" s="22">
        <v>0.53200000000000003</v>
      </c>
      <c r="H7" s="22">
        <v>302</v>
      </c>
      <c r="I7" s="22">
        <v>0.47</v>
      </c>
      <c r="J7" s="22">
        <v>177</v>
      </c>
      <c r="K7" s="22">
        <v>0.27500000000000002</v>
      </c>
      <c r="L7" s="22">
        <v>27</v>
      </c>
      <c r="M7" s="22">
        <v>1.0629999999999999</v>
      </c>
      <c r="N7" s="22">
        <v>573</v>
      </c>
      <c r="O7" s="22">
        <v>0.88700000000000001</v>
      </c>
      <c r="R7" s="39">
        <v>35</v>
      </c>
      <c r="S7" s="40">
        <v>1.25</v>
      </c>
      <c r="T7" s="39">
        <v>184.15</v>
      </c>
      <c r="U7" s="39">
        <v>7.25</v>
      </c>
      <c r="V7" s="39">
        <v>203.2</v>
      </c>
      <c r="W7" s="39">
        <v>8</v>
      </c>
    </row>
    <row r="8" spans="2:23">
      <c r="B8" s="22">
        <v>35</v>
      </c>
      <c r="C8" s="22" t="s">
        <v>106</v>
      </c>
      <c r="D8" s="22">
        <v>394</v>
      </c>
      <c r="E8" s="22">
        <v>0.61</v>
      </c>
      <c r="F8" s="22">
        <v>533</v>
      </c>
      <c r="G8" s="22">
        <v>0.82599999999999996</v>
      </c>
      <c r="H8" s="22">
        <v>468</v>
      </c>
      <c r="I8" s="22">
        <v>0.70899999999999996</v>
      </c>
      <c r="J8" s="22">
        <v>305</v>
      </c>
      <c r="K8" s="22">
        <v>0.47299999999999998</v>
      </c>
      <c r="L8" s="22">
        <v>35.4</v>
      </c>
      <c r="M8" s="22">
        <v>1.3939999999999999</v>
      </c>
      <c r="N8" s="22">
        <v>981</v>
      </c>
      <c r="O8" s="22">
        <v>1.526</v>
      </c>
      <c r="R8" s="39">
        <v>41</v>
      </c>
      <c r="S8" s="40">
        <v>1.5</v>
      </c>
      <c r="T8" s="39">
        <v>209.55</v>
      </c>
      <c r="U8" s="39">
        <v>8.25</v>
      </c>
      <c r="V8" s="39">
        <v>254</v>
      </c>
      <c r="W8" s="39">
        <v>10</v>
      </c>
    </row>
    <row r="9" spans="2:23">
      <c r="B9" s="22">
        <v>41</v>
      </c>
      <c r="C9" s="22" t="s">
        <v>107</v>
      </c>
      <c r="D9" s="22">
        <v>533</v>
      </c>
      <c r="E9" s="22">
        <v>0.82499999999999996</v>
      </c>
      <c r="F9" s="22">
        <v>800</v>
      </c>
      <c r="G9" s="22">
        <v>1.2430000000000001</v>
      </c>
      <c r="H9" s="22">
        <v>702</v>
      </c>
      <c r="I9" s="22">
        <v>1.089</v>
      </c>
      <c r="J9" s="22">
        <v>395</v>
      </c>
      <c r="K9" s="22">
        <v>0.61299999999999999</v>
      </c>
      <c r="L9" s="22">
        <v>41.6</v>
      </c>
      <c r="M9" s="22">
        <v>1.6379999999999999</v>
      </c>
      <c r="N9" s="22">
        <v>1333</v>
      </c>
      <c r="O9" s="22">
        <v>2.0710000000000002</v>
      </c>
      <c r="R9" s="39">
        <v>53</v>
      </c>
      <c r="S9" s="40">
        <v>2</v>
      </c>
      <c r="T9" s="39">
        <v>241.3</v>
      </c>
      <c r="U9" s="39">
        <v>9.5</v>
      </c>
      <c r="V9" s="39">
        <v>304.8</v>
      </c>
      <c r="W9" s="39">
        <v>12</v>
      </c>
    </row>
    <row r="10" spans="2:23">
      <c r="B10" s="22">
        <v>53</v>
      </c>
      <c r="C10" s="22">
        <v>2</v>
      </c>
      <c r="D10" s="22">
        <v>879</v>
      </c>
      <c r="E10" s="22">
        <v>1.363</v>
      </c>
      <c r="F10" s="22">
        <v>1318</v>
      </c>
      <c r="G10" s="22">
        <v>2.0449999999999999</v>
      </c>
      <c r="H10" s="22">
        <v>1157</v>
      </c>
      <c r="I10" s="22">
        <v>1.806</v>
      </c>
      <c r="J10" s="22">
        <v>681</v>
      </c>
      <c r="K10" s="22">
        <v>1.056</v>
      </c>
      <c r="L10" s="22">
        <v>52.9</v>
      </c>
      <c r="M10" s="22">
        <v>2.0830000000000002</v>
      </c>
      <c r="N10" s="22">
        <v>2198</v>
      </c>
      <c r="O10" s="22">
        <v>3.4089999999999998</v>
      </c>
      <c r="R10" s="39">
        <v>63</v>
      </c>
      <c r="S10" s="40">
        <v>2.5</v>
      </c>
      <c r="T10" s="39">
        <v>266.7</v>
      </c>
      <c r="U10" s="39">
        <v>10.5</v>
      </c>
      <c r="V10" s="39">
        <v>381</v>
      </c>
      <c r="W10" s="39">
        <v>15</v>
      </c>
    </row>
    <row r="11" spans="2:23">
      <c r="B11" s="22">
        <v>63</v>
      </c>
      <c r="C11" s="22" t="s">
        <v>108</v>
      </c>
      <c r="D11" s="22">
        <v>1255</v>
      </c>
      <c r="E11" s="22">
        <v>1.946</v>
      </c>
      <c r="F11" s="22">
        <v>1882</v>
      </c>
      <c r="G11" s="22">
        <v>2.9180000000000001</v>
      </c>
      <c r="H11" s="22">
        <v>1654</v>
      </c>
      <c r="I11" s="22">
        <v>2.5630000000000002</v>
      </c>
      <c r="J11" s="22">
        <v>974</v>
      </c>
      <c r="K11" s="22">
        <v>1.51</v>
      </c>
      <c r="L11" s="22">
        <v>63.1</v>
      </c>
      <c r="M11" s="22">
        <v>2.484</v>
      </c>
      <c r="N11" s="22">
        <v>3129</v>
      </c>
      <c r="O11" s="22">
        <v>4.8659999999999997</v>
      </c>
      <c r="R11" s="39">
        <v>78</v>
      </c>
      <c r="S11" s="40">
        <v>3</v>
      </c>
      <c r="T11" s="39">
        <v>330.2</v>
      </c>
      <c r="U11" s="39">
        <v>13</v>
      </c>
      <c r="V11" s="39">
        <v>457.2</v>
      </c>
      <c r="W11" s="39">
        <v>18</v>
      </c>
    </row>
    <row r="12" spans="2:23">
      <c r="B12" s="22">
        <v>78</v>
      </c>
      <c r="C12" s="22">
        <v>3</v>
      </c>
      <c r="D12" s="22">
        <v>1936</v>
      </c>
      <c r="E12" s="22">
        <v>3.004</v>
      </c>
      <c r="F12" s="22">
        <v>2904</v>
      </c>
      <c r="G12" s="22">
        <v>4.5090000000000003</v>
      </c>
      <c r="H12" s="22">
        <v>2553</v>
      </c>
      <c r="I12" s="22">
        <v>3.9740000000000002</v>
      </c>
      <c r="J12" s="22">
        <v>1503</v>
      </c>
      <c r="K12" s="22">
        <v>2.34</v>
      </c>
      <c r="L12" s="22">
        <v>78.5</v>
      </c>
      <c r="M12" s="22">
        <v>3.09</v>
      </c>
      <c r="N12" s="22">
        <v>4844</v>
      </c>
      <c r="O12" s="22">
        <v>7.4989999999999997</v>
      </c>
      <c r="R12" s="39">
        <v>91</v>
      </c>
      <c r="S12" s="40">
        <v>3.5</v>
      </c>
      <c r="T12" s="39">
        <v>381</v>
      </c>
      <c r="U12" s="39">
        <v>15</v>
      </c>
      <c r="V12" s="39">
        <v>533.4</v>
      </c>
      <c r="W12" s="39">
        <v>21</v>
      </c>
    </row>
    <row r="13" spans="2:23">
      <c r="B13" s="22">
        <v>91</v>
      </c>
      <c r="C13" s="22" t="s">
        <v>109</v>
      </c>
      <c r="D13" s="22">
        <v>2584</v>
      </c>
      <c r="E13" s="22">
        <v>4.0039999999999996</v>
      </c>
      <c r="F13" s="22">
        <v>3877</v>
      </c>
      <c r="G13" s="22">
        <v>6.0060000000000002</v>
      </c>
      <c r="H13" s="22">
        <v>3414</v>
      </c>
      <c r="I13" s="22">
        <v>5.2939999999999996</v>
      </c>
      <c r="J13" s="22">
        <v>2000</v>
      </c>
      <c r="K13" s="22">
        <v>3.0990000000000002</v>
      </c>
      <c r="L13" s="22">
        <v>90.7</v>
      </c>
      <c r="M13" s="22">
        <v>3.57</v>
      </c>
      <c r="N13" s="22">
        <v>6460</v>
      </c>
      <c r="O13" s="22">
        <v>10.01</v>
      </c>
      <c r="R13" s="39">
        <v>103</v>
      </c>
      <c r="S13" s="40">
        <v>4</v>
      </c>
      <c r="T13" s="39">
        <v>406.4</v>
      </c>
      <c r="U13" s="39">
        <v>16</v>
      </c>
      <c r="V13" s="39">
        <v>609.6</v>
      </c>
      <c r="W13" s="39">
        <v>24</v>
      </c>
    </row>
    <row r="14" spans="2:23">
      <c r="B14" s="22">
        <v>103</v>
      </c>
      <c r="C14" s="22">
        <v>4</v>
      </c>
      <c r="D14" s="22">
        <v>3326</v>
      </c>
      <c r="E14" s="22">
        <v>5.1529999999999996</v>
      </c>
      <c r="F14" s="22">
        <v>4990</v>
      </c>
      <c r="G14" s="22">
        <v>7.7279999999999998</v>
      </c>
      <c r="H14" s="22">
        <v>4396</v>
      </c>
      <c r="I14" s="22">
        <v>6.8280000000000003</v>
      </c>
      <c r="J14" s="22">
        <v>2578</v>
      </c>
      <c r="K14" s="22">
        <v>3.9940000000000002</v>
      </c>
      <c r="L14" s="22">
        <v>102.9</v>
      </c>
      <c r="M14" s="22">
        <v>4.0529999999999999</v>
      </c>
      <c r="N14" s="22">
        <v>8316</v>
      </c>
      <c r="O14" s="22">
        <v>12.882</v>
      </c>
      <c r="R14" s="39">
        <v>129</v>
      </c>
      <c r="S14" s="40">
        <v>5</v>
      </c>
      <c r="T14" s="39">
        <v>609.6</v>
      </c>
      <c r="U14" s="39">
        <v>24</v>
      </c>
      <c r="V14" s="39">
        <v>762</v>
      </c>
      <c r="W14" s="39">
        <v>30</v>
      </c>
    </row>
    <row r="15" spans="2:23">
      <c r="B15" s="22">
        <v>129</v>
      </c>
      <c r="C15" s="22">
        <v>5</v>
      </c>
      <c r="D15" s="22">
        <v>5220</v>
      </c>
      <c r="E15" s="22">
        <v>8.0850000000000009</v>
      </c>
      <c r="F15" s="22">
        <v>7830</v>
      </c>
      <c r="G15" s="22">
        <v>12.127000000000001</v>
      </c>
      <c r="H15" s="22">
        <v>6896</v>
      </c>
      <c r="I15" s="22">
        <v>10.667</v>
      </c>
      <c r="J15" s="22">
        <v>4045</v>
      </c>
      <c r="K15" s="22">
        <v>6.2649999999999997</v>
      </c>
      <c r="L15" s="22">
        <v>129.80000000000001</v>
      </c>
      <c r="M15" s="22">
        <v>5.0730000000000004</v>
      </c>
      <c r="N15" s="22">
        <v>13050</v>
      </c>
      <c r="O15" s="22">
        <v>20.212</v>
      </c>
      <c r="R15" s="39">
        <v>155</v>
      </c>
      <c r="S15" s="40">
        <v>6</v>
      </c>
      <c r="T15" s="39">
        <v>762</v>
      </c>
      <c r="U15" s="39">
        <v>30</v>
      </c>
      <c r="V15" s="39">
        <v>914.4</v>
      </c>
      <c r="W15" s="39">
        <v>36</v>
      </c>
    </row>
    <row r="16" spans="2:23">
      <c r="B16" s="22">
        <v>155</v>
      </c>
      <c r="C16" s="22">
        <v>6</v>
      </c>
      <c r="D16" s="22">
        <v>7528</v>
      </c>
      <c r="E16" s="22">
        <v>11.663</v>
      </c>
      <c r="F16" s="22">
        <v>11292</v>
      </c>
      <c r="G16" s="22">
        <v>17.495000000000001</v>
      </c>
      <c r="H16" s="22">
        <v>9975</v>
      </c>
      <c r="I16" s="22">
        <v>15.454000000000001</v>
      </c>
      <c r="J16" s="22">
        <v>5843</v>
      </c>
      <c r="K16" s="22">
        <v>9.0299999999999994</v>
      </c>
      <c r="L16" s="22">
        <v>154.80000000000001</v>
      </c>
      <c r="M16" s="22">
        <v>6.09</v>
      </c>
      <c r="N16" s="22">
        <v>18821</v>
      </c>
      <c r="O16" s="22">
        <v>29.158000000000001</v>
      </c>
    </row>
    <row r="18" spans="2:15">
      <c r="B18" s="177" t="s">
        <v>130</v>
      </c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  <c r="N18" s="177"/>
      <c r="O18" s="177"/>
    </row>
    <row r="19" spans="2:15">
      <c r="B19" s="19" t="s">
        <v>89</v>
      </c>
      <c r="C19" s="19" t="s">
        <v>90</v>
      </c>
      <c r="D19" s="19" t="s">
        <v>111</v>
      </c>
      <c r="E19" s="19" t="s">
        <v>112</v>
      </c>
      <c r="F19" s="19" t="s">
        <v>113</v>
      </c>
      <c r="G19" s="19" t="s">
        <v>114</v>
      </c>
      <c r="H19" s="19" t="s">
        <v>115</v>
      </c>
      <c r="I19" s="19" t="s">
        <v>116</v>
      </c>
      <c r="J19" s="19" t="s">
        <v>117</v>
      </c>
      <c r="K19" s="19" t="s">
        <v>118</v>
      </c>
      <c r="L19" s="19" t="s">
        <v>119</v>
      </c>
      <c r="M19" s="19" t="s">
        <v>120</v>
      </c>
      <c r="N19" s="19" t="s">
        <v>121</v>
      </c>
      <c r="O19" s="19" t="s">
        <v>122</v>
      </c>
    </row>
    <row r="20" spans="2:15">
      <c r="B20" s="19">
        <v>12</v>
      </c>
      <c r="C20" s="19" t="s">
        <v>123</v>
      </c>
      <c r="D20" s="19">
        <v>50</v>
      </c>
      <c r="E20" s="19">
        <v>7.6999999999999999E-2</v>
      </c>
      <c r="F20" s="19">
        <v>75</v>
      </c>
      <c r="G20" s="19">
        <v>0.115</v>
      </c>
      <c r="H20" s="19">
        <v>66</v>
      </c>
      <c r="I20" s="19">
        <v>0.10199999999999999</v>
      </c>
      <c r="J20" s="19">
        <v>39</v>
      </c>
      <c r="K20" s="19">
        <v>0.06</v>
      </c>
      <c r="L20" s="19">
        <v>12.6</v>
      </c>
      <c r="M20" s="19">
        <v>0.495</v>
      </c>
      <c r="N20" s="19">
        <v>125</v>
      </c>
      <c r="O20" s="19">
        <v>0.192</v>
      </c>
    </row>
    <row r="21" spans="2:15">
      <c r="B21" s="19">
        <v>16</v>
      </c>
      <c r="C21" s="19" t="s">
        <v>124</v>
      </c>
      <c r="D21" s="19">
        <v>80</v>
      </c>
      <c r="E21" s="19">
        <v>0.125</v>
      </c>
      <c r="F21" s="19">
        <v>121</v>
      </c>
      <c r="G21" s="19">
        <v>0.187</v>
      </c>
      <c r="H21" s="19">
        <v>107</v>
      </c>
      <c r="I21" s="19">
        <v>0.16500000000000001</v>
      </c>
      <c r="J21" s="19">
        <v>62</v>
      </c>
      <c r="K21" s="19">
        <v>9.7000000000000003E-2</v>
      </c>
      <c r="L21" s="19">
        <v>16</v>
      </c>
      <c r="M21" s="19">
        <v>0.63</v>
      </c>
      <c r="N21" s="19">
        <v>201</v>
      </c>
      <c r="O21" s="19">
        <v>0.312</v>
      </c>
    </row>
    <row r="22" spans="2:15">
      <c r="B22" s="19">
        <v>21</v>
      </c>
      <c r="C22" s="19" t="s">
        <v>125</v>
      </c>
      <c r="D22" s="19">
        <v>139</v>
      </c>
      <c r="E22" s="19">
        <v>0.214</v>
      </c>
      <c r="F22" s="19">
        <v>208</v>
      </c>
      <c r="G22" s="19">
        <v>0.32100000000000001</v>
      </c>
      <c r="H22" s="19">
        <v>184</v>
      </c>
      <c r="I22" s="19">
        <v>0.28299999999999997</v>
      </c>
      <c r="J22" s="19">
        <v>107</v>
      </c>
      <c r="K22" s="19">
        <v>0.16600000000000001</v>
      </c>
      <c r="L22" s="19">
        <v>21</v>
      </c>
      <c r="M22" s="19">
        <v>0.82499999999999996</v>
      </c>
      <c r="N22" s="19">
        <v>346</v>
      </c>
      <c r="O22" s="19">
        <v>0.53500000000000003</v>
      </c>
    </row>
    <row r="23" spans="2:15">
      <c r="B23" s="19">
        <v>27</v>
      </c>
      <c r="C23" s="19" t="s">
        <v>126</v>
      </c>
      <c r="D23" s="19">
        <v>221</v>
      </c>
      <c r="E23" s="19">
        <v>0.34300000000000003</v>
      </c>
      <c r="F23" s="19">
        <v>331</v>
      </c>
      <c r="G23" s="19">
        <v>0.51300000000000001</v>
      </c>
      <c r="H23" s="19">
        <v>292</v>
      </c>
      <c r="I23" s="19">
        <v>0.45300000000000001</v>
      </c>
      <c r="J23" s="19">
        <v>171</v>
      </c>
      <c r="K23" s="19">
        <v>0.26500000000000001</v>
      </c>
      <c r="L23" s="19">
        <v>26.5</v>
      </c>
      <c r="M23" s="19">
        <v>1.0429999999999999</v>
      </c>
      <c r="N23" s="19">
        <v>552</v>
      </c>
      <c r="O23" s="19">
        <v>0.85399999999999998</v>
      </c>
    </row>
    <row r="24" spans="2:15">
      <c r="B24" s="19">
        <v>35</v>
      </c>
      <c r="C24" s="19" t="s">
        <v>127</v>
      </c>
      <c r="D24" s="19">
        <v>387</v>
      </c>
      <c r="E24" s="19">
        <v>0.60099999999999998</v>
      </c>
      <c r="F24" s="19">
        <v>581</v>
      </c>
      <c r="G24" s="19">
        <v>0.90100000000000002</v>
      </c>
      <c r="H24" s="19">
        <v>513</v>
      </c>
      <c r="I24" s="19">
        <v>0.79600000000000004</v>
      </c>
      <c r="J24" s="19">
        <v>300</v>
      </c>
      <c r="K24" s="19">
        <v>0.46600000000000003</v>
      </c>
      <c r="L24" s="19">
        <v>35.1</v>
      </c>
      <c r="M24" s="19">
        <v>1.383</v>
      </c>
      <c r="N24" s="19">
        <v>968</v>
      </c>
      <c r="O24" s="19">
        <v>1.502</v>
      </c>
    </row>
    <row r="25" spans="2:15">
      <c r="B25" s="19">
        <v>41</v>
      </c>
      <c r="C25" s="19" t="s">
        <v>128</v>
      </c>
      <c r="D25" s="19">
        <v>520</v>
      </c>
      <c r="E25" s="19">
        <v>0.80700000000000005</v>
      </c>
      <c r="F25" s="19">
        <v>781</v>
      </c>
      <c r="G25" s="19">
        <v>1.2110000000000001</v>
      </c>
      <c r="H25" s="19">
        <v>690</v>
      </c>
      <c r="I25" s="19">
        <v>1.07</v>
      </c>
      <c r="J25" s="19">
        <v>403</v>
      </c>
      <c r="K25" s="19">
        <v>0.626</v>
      </c>
      <c r="L25" s="19">
        <v>40.700000000000003</v>
      </c>
      <c r="M25" s="19">
        <v>1.603</v>
      </c>
      <c r="N25" s="19">
        <v>1301</v>
      </c>
      <c r="O25" s="19">
        <v>2.0179999999999998</v>
      </c>
    </row>
    <row r="26" spans="2:15">
      <c r="B26" s="19">
        <v>53</v>
      </c>
      <c r="C26" s="19" t="s">
        <v>129</v>
      </c>
      <c r="D26" s="19">
        <v>863</v>
      </c>
      <c r="E26" s="19">
        <v>1.337</v>
      </c>
      <c r="F26" s="19">
        <v>1294</v>
      </c>
      <c r="G26" s="19">
        <v>2.0059999999999998</v>
      </c>
      <c r="H26" s="19">
        <v>1143</v>
      </c>
      <c r="I26" s="19">
        <v>1.772</v>
      </c>
      <c r="J26" s="19">
        <v>669</v>
      </c>
      <c r="K26" s="19">
        <v>1.036</v>
      </c>
      <c r="L26" s="19">
        <v>52.4</v>
      </c>
      <c r="M26" s="19">
        <v>2.0630000000000002</v>
      </c>
      <c r="N26" s="19">
        <v>2157</v>
      </c>
      <c r="O26" s="19">
        <v>3.343</v>
      </c>
    </row>
    <row r="28" spans="2:15">
      <c r="B28" s="177" t="s">
        <v>133</v>
      </c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</row>
    <row r="29" spans="2:15">
      <c r="B29" s="19" t="s">
        <v>89</v>
      </c>
      <c r="C29" s="19" t="s">
        <v>90</v>
      </c>
      <c r="D29" s="19" t="s">
        <v>111</v>
      </c>
      <c r="E29" s="19" t="s">
        <v>112</v>
      </c>
      <c r="F29" s="19" t="s">
        <v>113</v>
      </c>
      <c r="G29" s="19" t="s">
        <v>114</v>
      </c>
      <c r="H29" s="19" t="s">
        <v>115</v>
      </c>
      <c r="I29" s="19" t="s">
        <v>116</v>
      </c>
      <c r="J29" s="19" t="s">
        <v>117</v>
      </c>
      <c r="K29" s="19" t="s">
        <v>118</v>
      </c>
      <c r="L29" s="19" t="s">
        <v>119</v>
      </c>
      <c r="M29" s="19" t="s">
        <v>120</v>
      </c>
      <c r="N29" s="19" t="s">
        <v>121</v>
      </c>
      <c r="O29" s="19" t="s">
        <v>122</v>
      </c>
    </row>
    <row r="30" spans="2:15">
      <c r="B30" s="19">
        <v>12</v>
      </c>
      <c r="C30" s="19" t="s">
        <v>123</v>
      </c>
      <c r="D30" s="19">
        <v>127</v>
      </c>
      <c r="E30" s="19">
        <v>0.19700000000000001</v>
      </c>
      <c r="F30" s="19">
        <v>206</v>
      </c>
      <c r="G30" s="19">
        <v>0.32</v>
      </c>
      <c r="H30" s="19">
        <v>182</v>
      </c>
      <c r="I30" s="19">
        <v>0.28299999999999997</v>
      </c>
      <c r="J30" s="19">
        <v>106</v>
      </c>
      <c r="K30" s="19">
        <v>0.16500000000000001</v>
      </c>
      <c r="L30" s="19">
        <v>10.9</v>
      </c>
      <c r="M30" s="19">
        <v>0.42399999999999999</v>
      </c>
      <c r="N30" s="19">
        <v>345</v>
      </c>
      <c r="O30" s="19">
        <v>0.53500000000000003</v>
      </c>
    </row>
    <row r="31" spans="2:15">
      <c r="B31" s="19">
        <v>16</v>
      </c>
      <c r="C31" s="19" t="s">
        <v>124</v>
      </c>
      <c r="D31" s="19">
        <v>211</v>
      </c>
      <c r="E31" s="19">
        <v>0.32700000000000001</v>
      </c>
      <c r="F31" s="19">
        <v>316</v>
      </c>
      <c r="G31" s="19">
        <v>0.49</v>
      </c>
      <c r="H31" s="19">
        <v>279</v>
      </c>
      <c r="I31" s="19">
        <v>0.433</v>
      </c>
      <c r="J31" s="19">
        <v>162</v>
      </c>
      <c r="K31" s="19">
        <v>0.253</v>
      </c>
      <c r="L31" s="19">
        <v>15.9</v>
      </c>
      <c r="M31" s="19">
        <v>0.622</v>
      </c>
      <c r="N31" s="19">
        <v>527</v>
      </c>
      <c r="O31" s="19">
        <v>0.81699999999999995</v>
      </c>
    </row>
    <row r="32" spans="2:15">
      <c r="B32" s="19">
        <v>21</v>
      </c>
      <c r="C32" s="19" t="s">
        <v>125</v>
      </c>
      <c r="D32" s="19">
        <v>330</v>
      </c>
      <c r="E32" s="19">
        <v>0.51100000000000001</v>
      </c>
      <c r="F32" s="19">
        <v>495</v>
      </c>
      <c r="G32" s="19">
        <v>0.76600000000000001</v>
      </c>
      <c r="H32" s="19">
        <v>437</v>
      </c>
      <c r="I32" s="19">
        <v>0.67700000000000005</v>
      </c>
      <c r="J32" s="19">
        <v>253</v>
      </c>
      <c r="K32" s="19">
        <v>0.39600000000000002</v>
      </c>
      <c r="L32" s="19">
        <v>22.4</v>
      </c>
      <c r="M32" s="19">
        <v>0.88200000000000001</v>
      </c>
      <c r="N32" s="19">
        <v>824</v>
      </c>
      <c r="O32" s="19">
        <v>1.2769999999999999</v>
      </c>
    </row>
    <row r="33" spans="2:15">
      <c r="B33" s="19">
        <v>27</v>
      </c>
      <c r="C33" s="19" t="s">
        <v>126</v>
      </c>
      <c r="D33" s="19">
        <v>480</v>
      </c>
      <c r="E33" s="19">
        <v>0.74299999999999999</v>
      </c>
      <c r="F33" s="19">
        <v>720</v>
      </c>
      <c r="G33" s="19">
        <v>1.111</v>
      </c>
      <c r="H33" s="19">
        <v>636</v>
      </c>
      <c r="I33" s="19">
        <v>0.98499999999999999</v>
      </c>
      <c r="J33" s="19">
        <v>372</v>
      </c>
      <c r="K33" s="19">
        <v>0.57599999999999996</v>
      </c>
      <c r="L33" s="19">
        <v>29.1</v>
      </c>
      <c r="M33" s="19">
        <v>1.1379999999999999</v>
      </c>
      <c r="N33" s="19">
        <v>1201</v>
      </c>
      <c r="O33" s="19">
        <v>1.863</v>
      </c>
    </row>
    <row r="34" spans="2:15">
      <c r="B34" s="19">
        <v>35</v>
      </c>
      <c r="C34" s="19" t="s">
        <v>127</v>
      </c>
      <c r="D34" s="19">
        <v>843</v>
      </c>
      <c r="E34" s="19">
        <v>1.3069999999999999</v>
      </c>
      <c r="F34" s="19">
        <v>1264</v>
      </c>
      <c r="G34" s="19">
        <v>1.9610000000000001</v>
      </c>
      <c r="H34" s="19">
        <v>1117</v>
      </c>
      <c r="I34" s="19">
        <v>1.732</v>
      </c>
      <c r="J34" s="19">
        <v>653</v>
      </c>
      <c r="K34" s="19">
        <v>1.0129999999999999</v>
      </c>
      <c r="L34" s="19">
        <v>39.1</v>
      </c>
      <c r="M34" s="19">
        <v>1.54</v>
      </c>
      <c r="N34" s="19">
        <v>2107</v>
      </c>
      <c r="O34" s="19">
        <v>3.2690000000000001</v>
      </c>
    </row>
    <row r="35" spans="2:15">
      <c r="B35" s="19">
        <v>41</v>
      </c>
      <c r="C35" s="19" t="s">
        <v>128</v>
      </c>
      <c r="D35" s="19">
        <v>1267</v>
      </c>
      <c r="E35" s="19">
        <v>1.9630000000000001</v>
      </c>
      <c r="F35" s="19">
        <v>1900</v>
      </c>
      <c r="G35" s="19">
        <v>2.9449999999999998</v>
      </c>
      <c r="H35" s="19">
        <v>1678</v>
      </c>
      <c r="I35" s="19">
        <v>2.6019999999999999</v>
      </c>
      <c r="J35" s="19">
        <v>980</v>
      </c>
      <c r="K35" s="19">
        <v>1.522</v>
      </c>
      <c r="L35" s="19">
        <v>63.5</v>
      </c>
      <c r="M35" s="19">
        <v>2.5</v>
      </c>
      <c r="N35" s="19">
        <v>3167</v>
      </c>
      <c r="O35" s="19">
        <v>4.9089999999999998</v>
      </c>
    </row>
    <row r="36" spans="2:15">
      <c r="B36" s="19">
        <v>53</v>
      </c>
      <c r="C36" s="19" t="s">
        <v>129</v>
      </c>
      <c r="D36" s="19">
        <v>1854</v>
      </c>
      <c r="E36" s="19">
        <v>2.8769999999999998</v>
      </c>
      <c r="F36" s="19">
        <v>2736</v>
      </c>
      <c r="G36" s="19">
        <v>4.2409999999999997</v>
      </c>
      <c r="H36" s="19">
        <v>2417</v>
      </c>
      <c r="I36" s="19">
        <v>3.746</v>
      </c>
      <c r="J36" s="19">
        <v>1414</v>
      </c>
      <c r="K36" s="19">
        <v>2.1909999999999998</v>
      </c>
      <c r="L36" s="19">
        <v>76.900000000000006</v>
      </c>
      <c r="M36" s="19">
        <v>3.0009999999999999</v>
      </c>
      <c r="N36" s="19">
        <v>4560</v>
      </c>
      <c r="O36" s="19">
        <v>7.0679999999999996</v>
      </c>
    </row>
    <row r="37" spans="2:15">
      <c r="B37" s="19">
        <v>63</v>
      </c>
      <c r="C37" s="19" t="s">
        <v>131</v>
      </c>
      <c r="D37" s="19">
        <v>2483</v>
      </c>
      <c r="E37" s="19">
        <v>3.8479999999999999</v>
      </c>
      <c r="F37" s="19">
        <v>3724</v>
      </c>
      <c r="G37" s="19">
        <v>5.7729999999999997</v>
      </c>
      <c r="H37" s="19">
        <v>3390</v>
      </c>
      <c r="I37" s="19">
        <v>5.0090000000000003</v>
      </c>
      <c r="J37" s="19">
        <v>1921</v>
      </c>
      <c r="K37" s="19">
        <v>2.9830000000000001</v>
      </c>
      <c r="L37" s="19">
        <v>88.9</v>
      </c>
      <c r="M37" s="19">
        <v>3.5</v>
      </c>
      <c r="N37" s="19">
        <v>6207</v>
      </c>
      <c r="O37" s="19">
        <v>9.6210000000000004</v>
      </c>
    </row>
    <row r="38" spans="2:15">
      <c r="B38" s="19">
        <v>78</v>
      </c>
      <c r="C38" s="19" t="s">
        <v>132</v>
      </c>
      <c r="D38" s="19">
        <v>3243</v>
      </c>
      <c r="E38" s="19">
        <v>5.0270000000000001</v>
      </c>
      <c r="F38" s="19">
        <v>4861</v>
      </c>
      <c r="G38" s="19">
        <v>7.54</v>
      </c>
      <c r="H38" s="19">
        <v>4297</v>
      </c>
      <c r="I38" s="19">
        <v>6.66</v>
      </c>
      <c r="J38" s="19">
        <v>2515</v>
      </c>
      <c r="K38" s="19">
        <v>3.8959999999999999</v>
      </c>
      <c r="L38" s="19">
        <v>101.6</v>
      </c>
      <c r="M38" s="19">
        <v>4</v>
      </c>
      <c r="N38" s="19">
        <v>8107</v>
      </c>
      <c r="O38" s="19">
        <v>12.566000000000001</v>
      </c>
    </row>
    <row r="40" spans="2:15">
      <c r="H40" s="35" t="s">
        <v>162</v>
      </c>
    </row>
    <row r="41" spans="2:15">
      <c r="B41" s="31" t="s">
        <v>134</v>
      </c>
      <c r="C41" s="32" t="s">
        <v>135</v>
      </c>
      <c r="D41" s="32" t="s">
        <v>136</v>
      </c>
      <c r="E41" s="32" t="s">
        <v>137</v>
      </c>
      <c r="F41" s="32" t="s">
        <v>138</v>
      </c>
      <c r="G41" s="33" t="s">
        <v>139</v>
      </c>
      <c r="H41" s="32" t="s">
        <v>316</v>
      </c>
    </row>
    <row r="42" spans="2:15">
      <c r="B42" s="27" t="s">
        <v>161</v>
      </c>
      <c r="C42" s="19" t="s">
        <v>63</v>
      </c>
      <c r="D42" s="19">
        <v>8.1940000000000008</v>
      </c>
      <c r="E42" s="19">
        <v>1.2699999999999999E-2</v>
      </c>
      <c r="F42" s="19">
        <v>3.226</v>
      </c>
      <c r="G42" s="29">
        <v>0.127</v>
      </c>
      <c r="H42" s="34"/>
    </row>
    <row r="43" spans="2:15">
      <c r="B43" s="27" t="s">
        <v>161</v>
      </c>
      <c r="C43" s="19" t="s">
        <v>62</v>
      </c>
      <c r="D43" s="19">
        <v>5.3550000000000004</v>
      </c>
      <c r="E43" s="19">
        <v>8.3000000000000001E-3</v>
      </c>
      <c r="F43" s="19">
        <v>2.6160000000000001</v>
      </c>
      <c r="G43" s="29">
        <v>0.10299999999999999</v>
      </c>
      <c r="H43" s="19"/>
    </row>
    <row r="44" spans="2:15">
      <c r="B44" s="27" t="s">
        <v>161</v>
      </c>
      <c r="C44" s="19" t="s">
        <v>61</v>
      </c>
      <c r="D44" s="19">
        <v>3.548</v>
      </c>
      <c r="E44" s="19">
        <v>5.4999999999999997E-3</v>
      </c>
      <c r="F44" s="19">
        <v>2.1339999999999999</v>
      </c>
      <c r="G44" s="29">
        <v>8.4000000000000005E-2</v>
      </c>
      <c r="H44" s="19"/>
    </row>
    <row r="45" spans="2:15">
      <c r="B45" s="27" t="s">
        <v>161</v>
      </c>
      <c r="C45" s="19" t="s">
        <v>60</v>
      </c>
      <c r="D45" s="19">
        <v>2.387</v>
      </c>
      <c r="E45" s="19">
        <v>3.7000000000000002E-3</v>
      </c>
      <c r="F45" s="19">
        <v>1.7529999999999999</v>
      </c>
      <c r="G45" s="29">
        <v>6.9000000000000006E-2</v>
      </c>
      <c r="H45" s="19"/>
    </row>
    <row r="46" spans="2:15">
      <c r="B46" s="27" t="s">
        <v>161</v>
      </c>
      <c r="C46" s="19" t="s">
        <v>59</v>
      </c>
      <c r="D46" s="19">
        <v>1.677</v>
      </c>
      <c r="E46" s="19">
        <v>2.5999999999999999E-3</v>
      </c>
      <c r="F46" s="19">
        <v>1.448</v>
      </c>
      <c r="G46" s="29">
        <v>5.7000000000000002E-2</v>
      </c>
      <c r="H46" s="19"/>
    </row>
    <row r="47" spans="2:15">
      <c r="B47" s="27" t="s">
        <v>160</v>
      </c>
      <c r="C47" s="19" t="s">
        <v>63</v>
      </c>
      <c r="D47" s="19">
        <v>8.968</v>
      </c>
      <c r="E47" s="19">
        <v>1.3899999999999999E-2</v>
      </c>
      <c r="F47" s="19">
        <v>3.3780000000000001</v>
      </c>
      <c r="G47" s="29">
        <v>0.13300000000000001</v>
      </c>
      <c r="H47" s="19"/>
    </row>
    <row r="48" spans="2:15">
      <c r="B48" s="27" t="s">
        <v>160</v>
      </c>
      <c r="C48" s="19" t="s">
        <v>62</v>
      </c>
      <c r="D48" s="19">
        <v>6</v>
      </c>
      <c r="E48" s="19">
        <v>9.1999999999999998E-3</v>
      </c>
      <c r="F48" s="19">
        <v>2.7429999999999999</v>
      </c>
      <c r="G48" s="29">
        <v>0.108</v>
      </c>
      <c r="H48" s="19"/>
    </row>
    <row r="49" spans="2:8">
      <c r="B49" s="27" t="s">
        <v>160</v>
      </c>
      <c r="C49" s="19" t="s">
        <v>61</v>
      </c>
      <c r="D49" s="19">
        <v>4.1289999999999996</v>
      </c>
      <c r="E49" s="19">
        <v>6.4000000000000003E-3</v>
      </c>
      <c r="F49" s="19">
        <v>2.286</v>
      </c>
      <c r="G49" s="29">
        <v>0.09</v>
      </c>
      <c r="H49" s="19"/>
    </row>
    <row r="50" spans="2:8">
      <c r="B50" s="27" t="s">
        <v>160</v>
      </c>
      <c r="C50" s="19" t="s">
        <v>60</v>
      </c>
      <c r="D50" s="19">
        <v>2.8889999999999998</v>
      </c>
      <c r="E50" s="19">
        <v>4.3E-3</v>
      </c>
      <c r="F50" s="19">
        <v>1.88</v>
      </c>
      <c r="G50" s="29">
        <v>7.3999999999999996E-2</v>
      </c>
      <c r="H50" s="19"/>
    </row>
    <row r="51" spans="2:8">
      <c r="B51" s="27" t="s">
        <v>160</v>
      </c>
      <c r="C51" s="19" t="s">
        <v>59</v>
      </c>
      <c r="D51" s="19">
        <v>2</v>
      </c>
      <c r="E51" s="19">
        <v>3.0999999999999999E-3</v>
      </c>
      <c r="F51" s="19">
        <v>1.575</v>
      </c>
      <c r="G51" s="29">
        <v>6.2E-2</v>
      </c>
      <c r="H51" s="19"/>
    </row>
    <row r="52" spans="2:8">
      <c r="B52" s="27" t="s">
        <v>151</v>
      </c>
      <c r="C52" s="19" t="s">
        <v>61</v>
      </c>
      <c r="D52" s="19">
        <v>6.452</v>
      </c>
      <c r="E52" s="19">
        <v>0.01</v>
      </c>
      <c r="F52" s="19">
        <v>2.87</v>
      </c>
      <c r="G52" s="29">
        <v>0.113</v>
      </c>
      <c r="H52" s="19"/>
    </row>
    <row r="53" spans="2:8">
      <c r="B53" s="27" t="s">
        <v>151</v>
      </c>
      <c r="C53" s="19" t="s">
        <v>60</v>
      </c>
      <c r="D53" s="19">
        <v>4.8390000000000004</v>
      </c>
      <c r="E53" s="19">
        <v>7.4999999999999997E-3</v>
      </c>
      <c r="F53" s="19">
        <v>2.4889999999999999</v>
      </c>
      <c r="G53" s="29">
        <v>9.8000000000000004E-2</v>
      </c>
      <c r="H53" s="19"/>
    </row>
    <row r="54" spans="2:8">
      <c r="B54" s="27" t="s">
        <v>151</v>
      </c>
      <c r="C54" s="19" t="s">
        <v>59</v>
      </c>
      <c r="D54" s="19">
        <v>3.742</v>
      </c>
      <c r="E54" s="19">
        <v>5.7999999999999996E-3</v>
      </c>
      <c r="F54" s="19">
        <v>2.1840000000000002</v>
      </c>
      <c r="G54" s="29">
        <v>8.5999999999999993E-2</v>
      </c>
      <c r="H54" s="19"/>
    </row>
    <row r="55" spans="2:8" ht="60">
      <c r="B55" s="26" t="s">
        <v>144</v>
      </c>
      <c r="C55" s="20" t="s">
        <v>88</v>
      </c>
      <c r="D55" s="20">
        <v>1795</v>
      </c>
      <c r="E55" s="20">
        <v>2.7818000000000001</v>
      </c>
      <c r="F55" s="20">
        <v>47.8</v>
      </c>
      <c r="G55" s="28">
        <v>1.8819999999999999</v>
      </c>
      <c r="H55" s="19"/>
    </row>
    <row r="56" spans="2:8" ht="60">
      <c r="B56" s="26" t="s">
        <v>144</v>
      </c>
      <c r="C56" s="20" t="s">
        <v>87</v>
      </c>
      <c r="D56" s="20">
        <v>1598</v>
      </c>
      <c r="E56" s="20">
        <v>2.4773000000000001</v>
      </c>
      <c r="F56" s="20">
        <v>45.11</v>
      </c>
      <c r="G56" s="28">
        <v>1.776</v>
      </c>
      <c r="H56" s="19"/>
    </row>
    <row r="57" spans="2:8" ht="60">
      <c r="B57" s="26" t="s">
        <v>144</v>
      </c>
      <c r="C57" s="20" t="s">
        <v>86</v>
      </c>
      <c r="D57" s="20">
        <v>1400</v>
      </c>
      <c r="E57" s="20">
        <v>2.1695000000000002</v>
      </c>
      <c r="F57" s="20">
        <v>42.21</v>
      </c>
      <c r="G57" s="28">
        <v>1.6619999999999999</v>
      </c>
      <c r="H57" s="19"/>
    </row>
    <row r="58" spans="2:8" ht="60">
      <c r="B58" s="26" t="s">
        <v>144</v>
      </c>
      <c r="C58" s="20" t="s">
        <v>85</v>
      </c>
      <c r="D58" s="20">
        <v>1200</v>
      </c>
      <c r="E58" s="20">
        <v>1.8602000000000001</v>
      </c>
      <c r="F58" s="20">
        <v>39.090000000000003</v>
      </c>
      <c r="G58" s="28">
        <v>1.5389999999999999</v>
      </c>
      <c r="H58" s="19"/>
    </row>
    <row r="59" spans="2:8" ht="60">
      <c r="B59" s="26" t="s">
        <v>144</v>
      </c>
      <c r="C59" s="20" t="s">
        <v>84</v>
      </c>
      <c r="D59" s="20">
        <v>953.8</v>
      </c>
      <c r="E59" s="20">
        <v>1.4783999999999999</v>
      </c>
      <c r="F59" s="20">
        <v>34.85</v>
      </c>
      <c r="G59" s="28">
        <v>1.3720000000000001</v>
      </c>
      <c r="H59" s="19"/>
    </row>
    <row r="60" spans="2:8" ht="60">
      <c r="B60" s="26" t="s">
        <v>144</v>
      </c>
      <c r="C60" s="20" t="s">
        <v>83</v>
      </c>
      <c r="D60" s="20">
        <v>874.9</v>
      </c>
      <c r="E60" s="20">
        <v>1.3561000000000001</v>
      </c>
      <c r="F60" s="20">
        <v>33.380000000000003</v>
      </c>
      <c r="G60" s="28">
        <v>1.3140000000000001</v>
      </c>
      <c r="H60" s="19"/>
    </row>
    <row r="61" spans="2:8" ht="60">
      <c r="B61" s="26" t="s">
        <v>144</v>
      </c>
      <c r="C61" s="20" t="s">
        <v>82</v>
      </c>
      <c r="D61" s="20">
        <v>791.7</v>
      </c>
      <c r="E61" s="20">
        <v>1.2272000000000001</v>
      </c>
      <c r="F61" s="20">
        <v>31.75</v>
      </c>
      <c r="G61" s="28">
        <v>1.25</v>
      </c>
      <c r="H61" s="19"/>
    </row>
    <row r="62" spans="2:8" ht="60">
      <c r="B62" s="26" t="s">
        <v>144</v>
      </c>
      <c r="C62" s="20" t="s">
        <v>81</v>
      </c>
      <c r="D62" s="20">
        <v>751.7</v>
      </c>
      <c r="E62" s="20">
        <v>1.1652</v>
      </c>
      <c r="F62" s="20">
        <v>30.94</v>
      </c>
      <c r="G62" s="28">
        <v>1.218</v>
      </c>
      <c r="H62" s="19"/>
    </row>
    <row r="63" spans="2:8" ht="60">
      <c r="B63" s="26" t="s">
        <v>144</v>
      </c>
      <c r="C63" s="20" t="s">
        <v>80</v>
      </c>
      <c r="D63" s="20">
        <v>710.3</v>
      </c>
      <c r="E63" s="20">
        <v>1.101</v>
      </c>
      <c r="F63" s="20">
        <v>30.07</v>
      </c>
      <c r="G63" s="28">
        <v>1.1839999999999999</v>
      </c>
      <c r="H63" s="19"/>
    </row>
    <row r="64" spans="2:8" ht="60">
      <c r="B64" s="26" t="s">
        <v>144</v>
      </c>
      <c r="C64" s="20" t="s">
        <v>79</v>
      </c>
      <c r="D64" s="20">
        <v>627.70000000000005</v>
      </c>
      <c r="E64" s="20">
        <v>0.97289999999999999</v>
      </c>
      <c r="F64" s="20">
        <v>28.27</v>
      </c>
      <c r="G64" s="28">
        <v>1.113</v>
      </c>
      <c r="H64" s="19"/>
    </row>
    <row r="65" spans="2:8" ht="60">
      <c r="B65" s="26" t="s">
        <v>144</v>
      </c>
      <c r="C65" s="20" t="s">
        <v>78</v>
      </c>
      <c r="D65" s="20">
        <v>509.7</v>
      </c>
      <c r="E65" s="20">
        <v>0.79010000000000002</v>
      </c>
      <c r="F65" s="20">
        <v>25.48</v>
      </c>
      <c r="G65" s="28">
        <v>1.0029999999999999</v>
      </c>
      <c r="H65" s="19"/>
    </row>
    <row r="66" spans="2:8" ht="60">
      <c r="B66" s="26" t="s">
        <v>144</v>
      </c>
      <c r="C66" s="20" t="s">
        <v>77</v>
      </c>
      <c r="D66" s="20">
        <v>427</v>
      </c>
      <c r="E66" s="20">
        <v>0.66190000000000004</v>
      </c>
      <c r="F66" s="20">
        <v>23.32</v>
      </c>
      <c r="G66" s="28">
        <v>0.91800000000000004</v>
      </c>
      <c r="H66" s="19"/>
    </row>
    <row r="67" spans="2:8" ht="60">
      <c r="B67" s="26" t="s">
        <v>144</v>
      </c>
      <c r="C67" s="20" t="s">
        <v>76</v>
      </c>
      <c r="D67" s="20">
        <v>384.4</v>
      </c>
      <c r="E67" s="20">
        <v>0.5958</v>
      </c>
      <c r="F67" s="20">
        <v>22.12</v>
      </c>
      <c r="G67" s="28">
        <v>0.871</v>
      </c>
      <c r="H67" s="19"/>
    </row>
    <row r="68" spans="2:8" ht="60">
      <c r="B68" s="26" t="s">
        <v>144</v>
      </c>
      <c r="C68" s="20" t="s">
        <v>75</v>
      </c>
      <c r="D68" s="20">
        <v>340.7</v>
      </c>
      <c r="E68" s="20">
        <v>0.52810000000000001</v>
      </c>
      <c r="F68" s="20">
        <v>20.83</v>
      </c>
      <c r="G68" s="28">
        <v>0.82</v>
      </c>
      <c r="H68" s="19"/>
    </row>
    <row r="69" spans="2:8" ht="60">
      <c r="B69" s="26" t="s">
        <v>144</v>
      </c>
      <c r="C69" s="20" t="s">
        <v>74</v>
      </c>
      <c r="D69" s="20">
        <v>296.5</v>
      </c>
      <c r="E69" s="20">
        <v>0.45960000000000001</v>
      </c>
      <c r="F69" s="20">
        <v>19.43</v>
      </c>
      <c r="G69" s="28">
        <v>0.76500000000000001</v>
      </c>
      <c r="H69" s="19"/>
    </row>
    <row r="70" spans="2:8" ht="60">
      <c r="B70" s="26" t="s">
        <v>144</v>
      </c>
      <c r="C70" s="20" t="s">
        <v>73</v>
      </c>
      <c r="D70" s="20">
        <v>239.9</v>
      </c>
      <c r="E70" s="20">
        <v>0.37180000000000002</v>
      </c>
      <c r="F70" s="20">
        <v>17.48</v>
      </c>
      <c r="G70" s="28">
        <v>0.68799999999999994</v>
      </c>
      <c r="H70" s="19"/>
    </row>
    <row r="71" spans="2:8" ht="60">
      <c r="B71" s="26" t="s">
        <v>144</v>
      </c>
      <c r="C71" s="20" t="s">
        <v>72</v>
      </c>
      <c r="D71" s="20">
        <v>201.1</v>
      </c>
      <c r="E71" s="20">
        <v>0.31169999999999998</v>
      </c>
      <c r="F71" s="20">
        <v>16</v>
      </c>
      <c r="G71" s="28">
        <v>0.63</v>
      </c>
      <c r="H71" s="19"/>
    </row>
    <row r="72" spans="2:8" ht="60">
      <c r="B72" s="26" t="s">
        <v>144</v>
      </c>
      <c r="C72" s="20" t="s">
        <v>71</v>
      </c>
      <c r="D72" s="20">
        <v>169.3</v>
      </c>
      <c r="E72" s="20">
        <v>0.26240000000000002</v>
      </c>
      <c r="F72" s="20">
        <v>14.68</v>
      </c>
      <c r="G72" s="28">
        <v>0.57799999999999996</v>
      </c>
      <c r="H72" s="19"/>
    </row>
    <row r="73" spans="2:8" ht="60">
      <c r="B73" s="26" t="s">
        <v>144</v>
      </c>
      <c r="C73" s="20" t="s">
        <v>70</v>
      </c>
      <c r="D73" s="20">
        <v>143.4</v>
      </c>
      <c r="E73" s="20">
        <v>0.2223</v>
      </c>
      <c r="F73" s="20">
        <v>13.51</v>
      </c>
      <c r="G73" s="28">
        <v>0.53200000000000003</v>
      </c>
      <c r="H73" s="19"/>
    </row>
    <row r="74" spans="2:8" ht="60">
      <c r="B74" s="26" t="s">
        <v>144</v>
      </c>
      <c r="C74" s="20" t="s">
        <v>69</v>
      </c>
      <c r="D74" s="20">
        <v>122.6</v>
      </c>
      <c r="E74" s="20">
        <v>0.19009999999999999</v>
      </c>
      <c r="F74" s="20">
        <v>12.5</v>
      </c>
      <c r="G74" s="28">
        <v>0.49199999999999999</v>
      </c>
      <c r="H74" s="19"/>
    </row>
    <row r="75" spans="2:8" ht="60">
      <c r="B75" s="26" t="s">
        <v>144</v>
      </c>
      <c r="C75" s="20" t="s">
        <v>68</v>
      </c>
      <c r="D75" s="20">
        <v>86</v>
      </c>
      <c r="E75" s="20">
        <v>0.13830000000000001</v>
      </c>
      <c r="F75" s="20">
        <v>10.46</v>
      </c>
      <c r="G75" s="28">
        <v>0.41199999999999998</v>
      </c>
      <c r="H75" s="19"/>
    </row>
    <row r="76" spans="2:8" ht="60">
      <c r="B76" s="26" t="s">
        <v>144</v>
      </c>
      <c r="C76" s="20" t="s">
        <v>67</v>
      </c>
      <c r="D76" s="20">
        <v>73.16</v>
      </c>
      <c r="E76" s="20">
        <v>0.1134</v>
      </c>
      <c r="F76" s="20">
        <v>9.6519999999999992</v>
      </c>
      <c r="G76" s="28">
        <v>0.38</v>
      </c>
      <c r="H76" s="19"/>
    </row>
    <row r="77" spans="2:8" ht="60">
      <c r="B77" s="26" t="s">
        <v>144</v>
      </c>
      <c r="C77" s="20" t="s">
        <v>66</v>
      </c>
      <c r="D77" s="20">
        <v>62.77</v>
      </c>
      <c r="E77" s="20">
        <v>9.7299999999999998E-2</v>
      </c>
      <c r="F77" s="20">
        <v>8.9410000000000007</v>
      </c>
      <c r="G77" s="28">
        <v>0.35199999999999998</v>
      </c>
      <c r="H77" s="19"/>
    </row>
    <row r="78" spans="2:8" ht="60">
      <c r="B78" s="26" t="s">
        <v>144</v>
      </c>
      <c r="C78" s="20" t="s">
        <v>65</v>
      </c>
      <c r="D78" s="20">
        <v>46.84</v>
      </c>
      <c r="E78" s="20">
        <v>7.2599999999999998E-2</v>
      </c>
      <c r="F78" s="20">
        <v>7.7220000000000004</v>
      </c>
      <c r="G78" s="28">
        <v>0.30399999999999999</v>
      </c>
      <c r="H78" s="19"/>
    </row>
    <row r="79" spans="2:8" ht="60">
      <c r="B79" s="26" t="s">
        <v>144</v>
      </c>
      <c r="C79" s="20" t="s">
        <v>64</v>
      </c>
      <c r="D79" s="20">
        <v>35.869999999999997</v>
      </c>
      <c r="E79" s="20">
        <v>5.5599999999999997E-2</v>
      </c>
      <c r="F79" s="20">
        <v>6.7560000000000002</v>
      </c>
      <c r="G79" s="28">
        <v>0.26600000000000001</v>
      </c>
      <c r="H79" s="19"/>
    </row>
    <row r="80" spans="2:8" ht="60">
      <c r="B80" s="26" t="s">
        <v>144</v>
      </c>
      <c r="C80" s="20" t="s">
        <v>63</v>
      </c>
      <c r="D80" s="20">
        <v>21.48</v>
      </c>
      <c r="E80" s="20">
        <v>5.33E-2</v>
      </c>
      <c r="F80" s="20">
        <v>5.2320000000000002</v>
      </c>
      <c r="G80" s="28">
        <v>0.20599999999999999</v>
      </c>
      <c r="H80" s="19"/>
    </row>
    <row r="81" spans="2:8">
      <c r="B81" s="26" t="s">
        <v>143</v>
      </c>
      <c r="C81" s="20" t="s">
        <v>62</v>
      </c>
      <c r="D81" s="20">
        <v>16.77</v>
      </c>
      <c r="E81" s="20">
        <v>2.5999999999999999E-2</v>
      </c>
      <c r="F81" s="20">
        <v>4.6230000000000002</v>
      </c>
      <c r="G81" s="28">
        <v>0.182</v>
      </c>
      <c r="H81" s="19"/>
    </row>
    <row r="82" spans="2:8">
      <c r="B82" s="26" t="s">
        <v>143</v>
      </c>
      <c r="C82" s="20" t="s">
        <v>61</v>
      </c>
      <c r="D82" s="20">
        <v>13.48</v>
      </c>
      <c r="E82" s="20">
        <v>2.0899999999999998E-2</v>
      </c>
      <c r="F82" s="20">
        <v>4.1399999999999997</v>
      </c>
      <c r="G82" s="28">
        <v>0.16300000000000001</v>
      </c>
      <c r="H82" s="19"/>
    </row>
    <row r="83" spans="2:8">
      <c r="B83" s="27" t="s">
        <v>147</v>
      </c>
      <c r="C83" s="19" t="s">
        <v>88</v>
      </c>
      <c r="D83" s="19">
        <v>2175</v>
      </c>
      <c r="E83" s="19">
        <v>3.3719000000000001</v>
      </c>
      <c r="F83" s="19">
        <v>52.63</v>
      </c>
      <c r="G83" s="29">
        <v>2.0720000000000001</v>
      </c>
      <c r="H83" s="19"/>
    </row>
    <row r="84" spans="2:8">
      <c r="B84" s="27" t="s">
        <v>147</v>
      </c>
      <c r="C84" s="19" t="s">
        <v>87</v>
      </c>
      <c r="D84" s="19">
        <v>1959</v>
      </c>
      <c r="E84" s="19">
        <v>3.0356999999999998</v>
      </c>
      <c r="F84" s="19">
        <v>49.94</v>
      </c>
      <c r="G84" s="29">
        <v>1.966</v>
      </c>
      <c r="H84" s="19"/>
    </row>
    <row r="85" spans="2:8">
      <c r="B85" s="27" t="s">
        <v>147</v>
      </c>
      <c r="C85" s="19" t="s">
        <v>86</v>
      </c>
      <c r="D85" s="19">
        <v>1738</v>
      </c>
      <c r="E85" s="19">
        <v>2.6938</v>
      </c>
      <c r="F85" s="19">
        <v>47.04</v>
      </c>
      <c r="G85" s="29">
        <v>1.8520000000000001</v>
      </c>
      <c r="H85" s="19"/>
    </row>
    <row r="86" spans="2:8">
      <c r="B86" s="27" t="s">
        <v>147</v>
      </c>
      <c r="C86" s="19" t="s">
        <v>85</v>
      </c>
      <c r="D86" s="19">
        <v>1515</v>
      </c>
      <c r="E86" s="19">
        <v>2.3479000000000001</v>
      </c>
      <c r="F86" s="19">
        <v>43.92</v>
      </c>
      <c r="G86" s="29">
        <v>1.7290000000000001</v>
      </c>
      <c r="H86" s="19"/>
    </row>
    <row r="87" spans="2:8">
      <c r="B87" s="27" t="s">
        <v>147</v>
      </c>
      <c r="C87" s="19" t="s">
        <v>84</v>
      </c>
      <c r="D87" s="19">
        <v>1143</v>
      </c>
      <c r="E87" s="19">
        <v>1.7719</v>
      </c>
      <c r="F87" s="19">
        <v>38.15</v>
      </c>
      <c r="G87" s="29">
        <v>1.502</v>
      </c>
      <c r="H87" s="19"/>
    </row>
    <row r="88" spans="2:8">
      <c r="B88" s="27" t="s">
        <v>147</v>
      </c>
      <c r="C88" s="19" t="s">
        <v>83</v>
      </c>
      <c r="D88" s="19">
        <v>1057</v>
      </c>
      <c r="E88" s="19">
        <v>1.6376999999999999</v>
      </c>
      <c r="F88" s="19">
        <v>36.68</v>
      </c>
      <c r="G88" s="29">
        <v>1.444</v>
      </c>
      <c r="H88" s="19"/>
    </row>
    <row r="89" spans="2:8">
      <c r="B89" s="27" t="s">
        <v>147</v>
      </c>
      <c r="C89" s="19" t="s">
        <v>82</v>
      </c>
      <c r="D89" s="19">
        <v>965</v>
      </c>
      <c r="E89" s="19">
        <v>1.4957</v>
      </c>
      <c r="F89" s="19">
        <v>35.049999999999997</v>
      </c>
      <c r="G89" s="29">
        <v>1.38</v>
      </c>
      <c r="H89" s="19"/>
    </row>
    <row r="90" spans="2:8">
      <c r="B90" s="27" t="s">
        <v>147</v>
      </c>
      <c r="C90" s="19" t="s">
        <v>81</v>
      </c>
      <c r="D90" s="19">
        <v>920.8</v>
      </c>
      <c r="E90" s="19">
        <v>1.4272</v>
      </c>
      <c r="F90" s="19">
        <v>34.24</v>
      </c>
      <c r="G90" s="29">
        <v>1.3480000000000001</v>
      </c>
      <c r="H90" s="19"/>
    </row>
    <row r="91" spans="2:8">
      <c r="B91" s="27" t="s">
        <v>147</v>
      </c>
      <c r="C91" s="19" t="s">
        <v>80</v>
      </c>
      <c r="D91" s="19">
        <v>874.9</v>
      </c>
      <c r="E91" s="19">
        <v>1.3561000000000001</v>
      </c>
      <c r="F91" s="19">
        <v>33.880000000000003</v>
      </c>
      <c r="G91" s="29">
        <v>1.3340000000000001</v>
      </c>
      <c r="H91" s="19"/>
    </row>
    <row r="92" spans="2:8">
      <c r="B92" s="27" t="s">
        <v>147</v>
      </c>
      <c r="C92" s="19" t="s">
        <v>79</v>
      </c>
      <c r="D92" s="19">
        <v>782.9</v>
      </c>
      <c r="E92" s="19">
        <v>1.2135</v>
      </c>
      <c r="F92" s="19">
        <v>31.57</v>
      </c>
      <c r="G92" s="29">
        <v>1.2430000000000001</v>
      </c>
      <c r="H92" s="19"/>
    </row>
    <row r="93" spans="2:8">
      <c r="B93" s="27" t="s">
        <v>147</v>
      </c>
      <c r="C93" s="19" t="s">
        <v>78</v>
      </c>
      <c r="D93" s="19">
        <v>650.5</v>
      </c>
      <c r="E93" s="19">
        <v>1.0082</v>
      </c>
      <c r="F93" s="19">
        <v>28.78</v>
      </c>
      <c r="G93" s="29">
        <v>1.133</v>
      </c>
      <c r="H93" s="19"/>
    </row>
    <row r="94" spans="2:8">
      <c r="B94" s="27" t="s">
        <v>147</v>
      </c>
      <c r="C94" s="19" t="s">
        <v>77</v>
      </c>
      <c r="D94" s="19">
        <v>556.5</v>
      </c>
      <c r="E94" s="19">
        <v>0.86260000000000003</v>
      </c>
      <c r="F94" s="19">
        <v>26.62</v>
      </c>
      <c r="G94" s="29">
        <v>1.048</v>
      </c>
      <c r="H94" s="19"/>
    </row>
    <row r="95" spans="2:8">
      <c r="B95" s="27" t="s">
        <v>147</v>
      </c>
      <c r="C95" s="19" t="s">
        <v>76</v>
      </c>
      <c r="D95" s="19">
        <v>507.7</v>
      </c>
      <c r="E95" s="19">
        <v>0.78700000000000003</v>
      </c>
      <c r="F95" s="19">
        <v>25.43</v>
      </c>
      <c r="G95" s="29">
        <v>1.0009999999999999</v>
      </c>
      <c r="H95" s="19"/>
    </row>
    <row r="96" spans="2:8">
      <c r="B96" s="27" t="s">
        <v>147</v>
      </c>
      <c r="C96" s="19" t="s">
        <v>75</v>
      </c>
      <c r="D96" s="19">
        <v>457.3</v>
      </c>
      <c r="E96" s="19">
        <v>0.70879999999999999</v>
      </c>
      <c r="F96" s="19">
        <v>24.13</v>
      </c>
      <c r="G96" s="29">
        <v>0.95</v>
      </c>
      <c r="H96" s="19"/>
    </row>
    <row r="97" spans="2:8">
      <c r="B97" s="27" t="s">
        <v>147</v>
      </c>
      <c r="C97" s="19" t="s">
        <v>74</v>
      </c>
      <c r="D97" s="19">
        <v>405.9</v>
      </c>
      <c r="E97" s="19">
        <v>0.62909999999999999</v>
      </c>
      <c r="F97" s="19">
        <v>22.73</v>
      </c>
      <c r="G97" s="29">
        <v>0.89500000000000002</v>
      </c>
      <c r="H97" s="19"/>
    </row>
    <row r="98" spans="2:8">
      <c r="B98" s="27" t="s">
        <v>147</v>
      </c>
      <c r="C98" s="19" t="s">
        <v>73</v>
      </c>
      <c r="D98" s="19">
        <v>306.7</v>
      </c>
      <c r="E98" s="19">
        <v>0.47539999999999999</v>
      </c>
      <c r="F98" s="19">
        <v>19.760000000000002</v>
      </c>
      <c r="G98" s="29">
        <v>0.77800000000000002</v>
      </c>
      <c r="H98" s="19"/>
    </row>
    <row r="99" spans="2:8">
      <c r="B99" s="27" t="s">
        <v>147</v>
      </c>
      <c r="C99" s="19" t="s">
        <v>72</v>
      </c>
      <c r="D99" s="19">
        <v>262.7</v>
      </c>
      <c r="E99" s="19">
        <v>0.40720000000000001</v>
      </c>
      <c r="F99" s="19">
        <v>18.29</v>
      </c>
      <c r="G99" s="29">
        <v>0.72</v>
      </c>
      <c r="H99" s="19"/>
    </row>
    <row r="100" spans="2:8">
      <c r="B100" s="27" t="s">
        <v>147</v>
      </c>
      <c r="C100" s="19" t="s">
        <v>71</v>
      </c>
      <c r="D100" s="19">
        <v>226.1</v>
      </c>
      <c r="E100" s="19">
        <v>0.35049999999999998</v>
      </c>
      <c r="F100" s="19">
        <v>16.97</v>
      </c>
      <c r="G100" s="29">
        <v>0.66800000000000004</v>
      </c>
      <c r="H100" s="19"/>
    </row>
    <row r="101" spans="2:8">
      <c r="B101" s="27" t="s">
        <v>147</v>
      </c>
      <c r="C101" s="19" t="s">
        <v>70</v>
      </c>
      <c r="D101" s="19">
        <v>196.1</v>
      </c>
      <c r="E101" s="19">
        <v>0.3039</v>
      </c>
      <c r="F101" s="19">
        <v>15.8</v>
      </c>
      <c r="G101" s="29">
        <v>0.622</v>
      </c>
      <c r="H101" s="19"/>
    </row>
    <row r="102" spans="2:8">
      <c r="B102" s="27" t="s">
        <v>147</v>
      </c>
      <c r="C102" s="19" t="s">
        <v>69</v>
      </c>
      <c r="D102" s="19">
        <v>171.6</v>
      </c>
      <c r="E102" s="19">
        <v>0.26600000000000001</v>
      </c>
      <c r="F102" s="19">
        <v>14.78</v>
      </c>
      <c r="G102" s="29">
        <v>0.58199999999999996</v>
      </c>
      <c r="H102" s="19"/>
    </row>
    <row r="103" spans="2:8">
      <c r="B103" s="27" t="s">
        <v>147</v>
      </c>
      <c r="C103" s="19" t="s">
        <v>68</v>
      </c>
      <c r="D103" s="19">
        <v>112.9</v>
      </c>
      <c r="E103" s="19">
        <v>0.17499999999999999</v>
      </c>
      <c r="F103" s="19">
        <v>11.99</v>
      </c>
      <c r="G103" s="29">
        <v>0.47199999999999998</v>
      </c>
      <c r="H103" s="19"/>
    </row>
    <row r="104" spans="2:8">
      <c r="B104" s="27" t="s">
        <v>147</v>
      </c>
      <c r="C104" s="19" t="s">
        <v>67</v>
      </c>
      <c r="D104" s="19">
        <v>98.13</v>
      </c>
      <c r="E104" s="19">
        <v>0.15210000000000001</v>
      </c>
      <c r="F104" s="19">
        <v>11.18</v>
      </c>
      <c r="G104" s="29">
        <v>0.44</v>
      </c>
      <c r="H104" s="19"/>
    </row>
    <row r="105" spans="2:8">
      <c r="B105" s="27" t="s">
        <v>147</v>
      </c>
      <c r="C105" s="19" t="s">
        <v>66</v>
      </c>
      <c r="D105" s="19">
        <v>86</v>
      </c>
      <c r="E105" s="19">
        <v>0.1338</v>
      </c>
      <c r="F105" s="19">
        <v>10.46</v>
      </c>
      <c r="G105" s="29">
        <v>0.41199999999999998</v>
      </c>
      <c r="H105" s="19"/>
    </row>
    <row r="106" spans="2:8">
      <c r="B106" s="27" t="s">
        <v>147</v>
      </c>
      <c r="C106" s="19" t="s">
        <v>65</v>
      </c>
      <c r="D106" s="19">
        <v>67.16</v>
      </c>
      <c r="E106" s="19">
        <v>0.1041</v>
      </c>
      <c r="F106" s="19">
        <v>9.2460000000000004</v>
      </c>
      <c r="G106" s="29">
        <v>0.36399999999999999</v>
      </c>
      <c r="H106" s="19"/>
    </row>
    <row r="107" spans="2:8">
      <c r="B107" s="27" t="s">
        <v>147</v>
      </c>
      <c r="C107" s="19" t="s">
        <v>64</v>
      </c>
      <c r="D107" s="19">
        <v>53.87</v>
      </c>
      <c r="E107" s="19">
        <v>8.3500000000000005E-2</v>
      </c>
      <c r="F107" s="19">
        <v>8.2799999999999994</v>
      </c>
      <c r="G107" s="29">
        <v>0.32600000000000001</v>
      </c>
      <c r="H107" s="19"/>
    </row>
    <row r="108" spans="2:8">
      <c r="B108" s="27" t="s">
        <v>147</v>
      </c>
      <c r="C108" s="19" t="s">
        <v>63</v>
      </c>
      <c r="D108" s="19">
        <v>28.19</v>
      </c>
      <c r="E108" s="19">
        <v>4.3700000000000003E-2</v>
      </c>
      <c r="F108" s="19">
        <v>5.9939999999999998</v>
      </c>
      <c r="G108" s="29">
        <v>0.23599999999999999</v>
      </c>
      <c r="H108" s="19"/>
    </row>
    <row r="109" spans="2:8">
      <c r="B109" s="27" t="s">
        <v>147</v>
      </c>
      <c r="C109" s="19" t="s">
        <v>62</v>
      </c>
      <c r="D109" s="19">
        <v>22.77</v>
      </c>
      <c r="E109" s="19">
        <v>3.5299999999999998E-2</v>
      </c>
      <c r="F109" s="19">
        <v>5.3849999999999998</v>
      </c>
      <c r="G109" s="29">
        <v>0.21199999999999999</v>
      </c>
      <c r="H109" s="19"/>
    </row>
    <row r="110" spans="2:8">
      <c r="B110" s="27" t="s">
        <v>147</v>
      </c>
      <c r="C110" s="19" t="s">
        <v>61</v>
      </c>
      <c r="D110" s="19">
        <v>18.899999999999999</v>
      </c>
      <c r="E110" s="19">
        <v>2.93E-2</v>
      </c>
      <c r="F110" s="19">
        <v>4.9020000000000001</v>
      </c>
      <c r="G110" s="29">
        <v>0.193</v>
      </c>
      <c r="H110" s="19"/>
    </row>
    <row r="111" spans="2:8">
      <c r="B111" s="27" t="s">
        <v>150</v>
      </c>
      <c r="C111" s="19" t="s">
        <v>59</v>
      </c>
      <c r="D111" s="19">
        <v>5.1609999999999996</v>
      </c>
      <c r="E111" s="19">
        <v>8.8000000000000005E-3</v>
      </c>
      <c r="F111" s="19">
        <v>2.6920000000000002</v>
      </c>
      <c r="G111" s="29">
        <v>0.106</v>
      </c>
      <c r="H111" s="19"/>
    </row>
    <row r="112" spans="2:8">
      <c r="B112" s="27" t="s">
        <v>149</v>
      </c>
      <c r="C112" s="19" t="s">
        <v>59</v>
      </c>
      <c r="D112" s="19">
        <v>4.194</v>
      </c>
      <c r="E112" s="19">
        <v>6.4999999999999997E-3</v>
      </c>
      <c r="F112" s="19">
        <v>2.3109999999999999</v>
      </c>
      <c r="G112" s="29">
        <v>9.0999999999999998E-2</v>
      </c>
      <c r="H112" s="19"/>
    </row>
    <row r="113" spans="2:8">
      <c r="B113" s="27" t="s">
        <v>148</v>
      </c>
      <c r="C113" s="19" t="s">
        <v>61</v>
      </c>
      <c r="D113" s="19">
        <v>11.1</v>
      </c>
      <c r="E113" s="19">
        <v>1.72E-2</v>
      </c>
      <c r="F113" s="19">
        <v>3.7589999999999999</v>
      </c>
      <c r="G113" s="29">
        <v>0.14799999999999999</v>
      </c>
      <c r="H113" s="19"/>
    </row>
    <row r="114" spans="2:8">
      <c r="B114" s="27" t="s">
        <v>148</v>
      </c>
      <c r="C114" s="19" t="s">
        <v>60</v>
      </c>
      <c r="D114" s="19">
        <v>8.968</v>
      </c>
      <c r="E114" s="19">
        <v>1.3899999999999999E-2</v>
      </c>
      <c r="F114" s="19">
        <v>3.3780000000000001</v>
      </c>
      <c r="G114" s="29">
        <v>0.13300000000000001</v>
      </c>
      <c r="H114" s="19"/>
    </row>
    <row r="115" spans="2:8">
      <c r="B115" s="27" t="s">
        <v>148</v>
      </c>
      <c r="C115" s="19" t="s">
        <v>59</v>
      </c>
      <c r="D115" s="19">
        <v>7.4189999999999996</v>
      </c>
      <c r="E115" s="19">
        <v>1.15E-2</v>
      </c>
      <c r="F115" s="19">
        <v>3.073</v>
      </c>
      <c r="G115" s="29">
        <v>0.121</v>
      </c>
      <c r="H115" s="19"/>
    </row>
    <row r="116" spans="2:8">
      <c r="B116" s="26" t="s">
        <v>140</v>
      </c>
      <c r="C116" s="20" t="s">
        <v>60</v>
      </c>
      <c r="D116" s="20">
        <v>7.032</v>
      </c>
      <c r="E116" s="20">
        <v>1.09E-2</v>
      </c>
      <c r="F116" s="20">
        <v>2.9969999999999999</v>
      </c>
      <c r="G116" s="28">
        <v>0.11799999999999999</v>
      </c>
      <c r="H116" s="19"/>
    </row>
    <row r="117" spans="2:8">
      <c r="B117" s="27" t="s">
        <v>152</v>
      </c>
      <c r="C117" s="19" t="s">
        <v>68</v>
      </c>
      <c r="D117" s="19">
        <v>62.77</v>
      </c>
      <c r="E117" s="19">
        <v>9.7299999999999998E-2</v>
      </c>
      <c r="F117" s="19">
        <v>8.9410000000000007</v>
      </c>
      <c r="G117" s="29">
        <v>0.35199999999999998</v>
      </c>
      <c r="H117" s="19"/>
    </row>
    <row r="118" spans="2:8">
      <c r="B118" s="27" t="s">
        <v>152</v>
      </c>
      <c r="C118" s="19" t="s">
        <v>67</v>
      </c>
      <c r="D118" s="19">
        <v>51.87</v>
      </c>
      <c r="E118" s="19">
        <v>8.0399999999999999E-2</v>
      </c>
      <c r="F118" s="19">
        <v>8.1280000000000001</v>
      </c>
      <c r="G118" s="29">
        <v>0.32</v>
      </c>
      <c r="H118" s="19"/>
    </row>
    <row r="119" spans="2:8">
      <c r="B119" s="27" t="s">
        <v>152</v>
      </c>
      <c r="C119" s="19" t="s">
        <v>66</v>
      </c>
      <c r="D119" s="19">
        <v>43.23</v>
      </c>
      <c r="E119" s="19">
        <v>6.7000000000000004E-2</v>
      </c>
      <c r="F119" s="19">
        <v>7.4169999999999998</v>
      </c>
      <c r="G119" s="29">
        <v>0.29199999999999998</v>
      </c>
      <c r="H119" s="19"/>
    </row>
    <row r="120" spans="2:8">
      <c r="B120" s="27" t="s">
        <v>152</v>
      </c>
      <c r="C120" s="19" t="s">
        <v>65</v>
      </c>
      <c r="D120" s="19">
        <v>30.19</v>
      </c>
      <c r="E120" s="19">
        <v>4.6800000000000001E-2</v>
      </c>
      <c r="F120" s="19">
        <v>6.1379999999999999</v>
      </c>
      <c r="G120" s="29">
        <v>0.24399999999999999</v>
      </c>
      <c r="H120" s="19"/>
    </row>
    <row r="121" spans="2:8">
      <c r="B121" s="27" t="s">
        <v>152</v>
      </c>
      <c r="C121" s="19" t="s">
        <v>64</v>
      </c>
      <c r="D121" s="19">
        <v>21.48</v>
      </c>
      <c r="E121" s="19">
        <v>3.3799999999999997E-2</v>
      </c>
      <c r="F121" s="19">
        <v>5.2320000000000002</v>
      </c>
      <c r="G121" s="29">
        <v>0.20599999999999999</v>
      </c>
      <c r="H121" s="19"/>
    </row>
    <row r="122" spans="2:8">
      <c r="B122" s="27" t="s">
        <v>152</v>
      </c>
      <c r="C122" s="19" t="s">
        <v>63</v>
      </c>
      <c r="D122" s="19">
        <v>12.52</v>
      </c>
      <c r="E122" s="19">
        <v>1.9099999999999999E-2</v>
      </c>
      <c r="F122" s="19">
        <v>3.9620000000000002</v>
      </c>
      <c r="G122" s="29">
        <v>0.156</v>
      </c>
      <c r="H122" s="19"/>
    </row>
    <row r="123" spans="2:8">
      <c r="B123" s="27" t="s">
        <v>152</v>
      </c>
      <c r="C123" s="19" t="s">
        <v>62</v>
      </c>
      <c r="D123" s="19">
        <v>8.8390000000000004</v>
      </c>
      <c r="E123" s="19">
        <v>1.37E-2</v>
      </c>
      <c r="F123" s="19">
        <v>3.3530000000000002</v>
      </c>
      <c r="G123" s="29">
        <v>0.13200000000000001</v>
      </c>
      <c r="H123" s="19"/>
    </row>
    <row r="124" spans="2:8">
      <c r="B124" s="27" t="s">
        <v>154</v>
      </c>
      <c r="C124" s="19" t="s">
        <v>73</v>
      </c>
      <c r="D124" s="19">
        <v>193.5</v>
      </c>
      <c r="E124" s="19">
        <v>0.3</v>
      </c>
      <c r="F124" s="19">
        <v>15.7</v>
      </c>
      <c r="G124" s="29">
        <v>0.61799999999999999</v>
      </c>
      <c r="H124" s="19"/>
    </row>
    <row r="125" spans="2:8">
      <c r="B125" s="27" t="s">
        <v>154</v>
      </c>
      <c r="C125" s="19" t="s">
        <v>72</v>
      </c>
      <c r="D125" s="19">
        <v>158.9</v>
      </c>
      <c r="E125" s="19">
        <v>0.24629999999999999</v>
      </c>
      <c r="F125" s="19">
        <v>14.22</v>
      </c>
      <c r="G125" s="29">
        <v>0.56000000000000005</v>
      </c>
      <c r="H125" s="19"/>
    </row>
    <row r="126" spans="2:8">
      <c r="B126" s="27" t="s">
        <v>154</v>
      </c>
      <c r="C126" s="19" t="s">
        <v>71</v>
      </c>
      <c r="D126" s="19">
        <v>130.80000000000001</v>
      </c>
      <c r="E126" s="19">
        <v>0.20269999999999999</v>
      </c>
      <c r="F126" s="19">
        <v>12.9</v>
      </c>
      <c r="G126" s="29">
        <v>0.50800000000000001</v>
      </c>
      <c r="H126" s="19"/>
    </row>
    <row r="127" spans="2:8">
      <c r="B127" s="27" t="s">
        <v>154</v>
      </c>
      <c r="C127" s="19" t="s">
        <v>70</v>
      </c>
      <c r="D127" s="19">
        <v>108.1</v>
      </c>
      <c r="E127" s="19">
        <v>0.1676</v>
      </c>
      <c r="F127" s="19">
        <v>11.73</v>
      </c>
      <c r="G127" s="29">
        <v>0.46200000000000002</v>
      </c>
      <c r="H127" s="19"/>
    </row>
    <row r="128" spans="2:8">
      <c r="B128" s="27" t="s">
        <v>153</v>
      </c>
      <c r="C128" s="19" t="s">
        <v>69</v>
      </c>
      <c r="D128" s="19">
        <v>90.26</v>
      </c>
      <c r="E128" s="19">
        <v>0.1399</v>
      </c>
      <c r="F128" s="19">
        <v>10.72</v>
      </c>
      <c r="G128" s="29">
        <v>0.42199999999999999</v>
      </c>
      <c r="H128" s="19"/>
    </row>
    <row r="129" spans="2:8">
      <c r="B129" s="26" t="s">
        <v>145</v>
      </c>
      <c r="C129" s="20" t="s">
        <v>60</v>
      </c>
      <c r="D129" s="20">
        <v>4.6449999999999996</v>
      </c>
      <c r="E129" s="20">
        <v>7.1999999999999998E-3</v>
      </c>
      <c r="F129" s="20">
        <v>2.4380000000000002</v>
      </c>
      <c r="G129" s="28">
        <v>9.6000000000000002E-2</v>
      </c>
      <c r="H129" s="19"/>
    </row>
    <row r="130" spans="2:8">
      <c r="B130" s="26" t="s">
        <v>145</v>
      </c>
      <c r="C130" s="20" t="s">
        <v>59</v>
      </c>
      <c r="D130" s="20">
        <v>3.548</v>
      </c>
      <c r="E130" s="20">
        <v>5.4999999999999997E-3</v>
      </c>
      <c r="F130" s="20">
        <v>2.1339999999999999</v>
      </c>
      <c r="G130" s="28">
        <v>8.4000000000000005E-2</v>
      </c>
      <c r="H130" s="19"/>
    </row>
    <row r="131" spans="2:8">
      <c r="B131" s="27" t="s">
        <v>146</v>
      </c>
      <c r="C131" s="19" t="s">
        <v>84</v>
      </c>
      <c r="D131" s="19">
        <v>869.5</v>
      </c>
      <c r="E131" s="19">
        <v>1.3478000000000001</v>
      </c>
      <c r="F131" s="19">
        <v>33.270000000000003</v>
      </c>
      <c r="G131" s="29">
        <v>1.31</v>
      </c>
      <c r="H131" s="19"/>
    </row>
    <row r="132" spans="2:8">
      <c r="B132" s="27" t="s">
        <v>146</v>
      </c>
      <c r="C132" s="19" t="s">
        <v>83</v>
      </c>
      <c r="D132" s="19">
        <v>794.3</v>
      </c>
      <c r="E132" s="19">
        <v>1.2311000000000001</v>
      </c>
      <c r="F132" s="19">
        <v>31.8</v>
      </c>
      <c r="G132" s="29">
        <v>1.252</v>
      </c>
      <c r="H132" s="19"/>
    </row>
    <row r="133" spans="2:8">
      <c r="B133" s="27" t="s">
        <v>146</v>
      </c>
      <c r="C133" s="19" t="s">
        <v>82</v>
      </c>
      <c r="D133" s="19">
        <v>715.2</v>
      </c>
      <c r="E133" s="19">
        <v>1.1085</v>
      </c>
      <c r="F133" s="19">
        <v>30.18</v>
      </c>
      <c r="G133" s="29">
        <v>1.1879999999999999</v>
      </c>
      <c r="H133" s="19"/>
    </row>
    <row r="134" spans="2:8">
      <c r="B134" s="27" t="s">
        <v>146</v>
      </c>
      <c r="C134" s="19" t="s">
        <v>81</v>
      </c>
      <c r="D134" s="19">
        <v>677.2</v>
      </c>
      <c r="E134" s="19">
        <v>1.0496000000000001</v>
      </c>
      <c r="F134" s="19">
        <v>29.36</v>
      </c>
      <c r="G134" s="29">
        <v>1.1559999999999999</v>
      </c>
      <c r="H134" s="19"/>
    </row>
    <row r="135" spans="2:8">
      <c r="B135" s="27" t="s">
        <v>146</v>
      </c>
      <c r="C135" s="19" t="s">
        <v>80</v>
      </c>
      <c r="D135" s="19">
        <v>637.9</v>
      </c>
      <c r="E135" s="19">
        <v>0.98870000000000002</v>
      </c>
      <c r="F135" s="19">
        <v>28.5</v>
      </c>
      <c r="G135" s="29">
        <v>1.1220000000000001</v>
      </c>
      <c r="H135" s="19"/>
    </row>
    <row r="136" spans="2:8">
      <c r="B136" s="27" t="s">
        <v>146</v>
      </c>
      <c r="C136" s="19" t="s">
        <v>79</v>
      </c>
      <c r="D136" s="19">
        <v>559.70000000000005</v>
      </c>
      <c r="E136" s="19">
        <v>0.86760000000000004</v>
      </c>
      <c r="F136" s="19">
        <v>26.7</v>
      </c>
      <c r="G136" s="29">
        <v>1.0509999999999999</v>
      </c>
      <c r="H136" s="19"/>
    </row>
    <row r="137" spans="2:8">
      <c r="B137" s="27" t="s">
        <v>146</v>
      </c>
      <c r="C137" s="19" t="s">
        <v>78</v>
      </c>
      <c r="D137" s="19">
        <v>456.3</v>
      </c>
      <c r="E137" s="19">
        <v>0.70730000000000004</v>
      </c>
      <c r="F137" s="19">
        <v>24.1</v>
      </c>
      <c r="G137" s="29">
        <v>0.94899999999999995</v>
      </c>
      <c r="H137" s="19"/>
    </row>
    <row r="138" spans="2:8">
      <c r="B138" s="27" t="s">
        <v>146</v>
      </c>
      <c r="C138" s="19" t="s">
        <v>77</v>
      </c>
      <c r="D138" s="19">
        <v>378.3</v>
      </c>
      <c r="E138" s="19">
        <v>0.58630000000000004</v>
      </c>
      <c r="F138" s="19">
        <v>21.95</v>
      </c>
      <c r="G138" s="29">
        <v>0.86399999999999999</v>
      </c>
      <c r="H138" s="19"/>
    </row>
    <row r="139" spans="2:8">
      <c r="B139" s="27" t="s">
        <v>146</v>
      </c>
      <c r="C139" s="19" t="s">
        <v>76</v>
      </c>
      <c r="D139" s="19">
        <v>338.2</v>
      </c>
      <c r="E139" s="19">
        <v>0.5242</v>
      </c>
      <c r="F139" s="19">
        <v>20.75</v>
      </c>
      <c r="G139" s="29">
        <v>0.81699999999999995</v>
      </c>
      <c r="H139" s="19"/>
    </row>
    <row r="140" spans="2:8">
      <c r="B140" s="26" t="s">
        <v>146</v>
      </c>
      <c r="C140" s="20" t="s">
        <v>75</v>
      </c>
      <c r="D140" s="20">
        <v>297.3</v>
      </c>
      <c r="E140" s="20">
        <v>0.46079999999999999</v>
      </c>
      <c r="F140" s="20">
        <v>19.46</v>
      </c>
      <c r="G140" s="28">
        <v>0.76600000000000001</v>
      </c>
      <c r="H140" s="19"/>
    </row>
    <row r="141" spans="2:8">
      <c r="B141" s="26" t="s">
        <v>146</v>
      </c>
      <c r="C141" s="20" t="s">
        <v>74</v>
      </c>
      <c r="D141" s="20">
        <v>256.10000000000002</v>
      </c>
      <c r="E141" s="20">
        <v>0.39700000000000002</v>
      </c>
      <c r="F141" s="20">
        <v>18.059999999999999</v>
      </c>
      <c r="G141" s="28">
        <v>0.71099999999999997</v>
      </c>
      <c r="H141" s="19"/>
    </row>
    <row r="142" spans="2:8">
      <c r="B142" s="26" t="s">
        <v>146</v>
      </c>
      <c r="C142" s="20" t="s">
        <v>73</v>
      </c>
      <c r="D142" s="20">
        <v>208.8</v>
      </c>
      <c r="E142" s="20">
        <v>0.32369999999999999</v>
      </c>
      <c r="F142" s="20">
        <v>16.309999999999999</v>
      </c>
      <c r="G142" s="28">
        <v>0.64200000000000002</v>
      </c>
      <c r="H142" s="19"/>
    </row>
    <row r="143" spans="2:8">
      <c r="B143" s="26" t="s">
        <v>146</v>
      </c>
      <c r="C143" s="20" t="s">
        <v>72</v>
      </c>
      <c r="D143" s="20">
        <v>172.8</v>
      </c>
      <c r="E143" s="20">
        <v>0.26790000000000003</v>
      </c>
      <c r="F143" s="20">
        <v>14.83</v>
      </c>
      <c r="G143" s="28">
        <v>0.58399999999999996</v>
      </c>
      <c r="H143" s="19"/>
    </row>
    <row r="144" spans="2:8">
      <c r="B144" s="26" t="s">
        <v>146</v>
      </c>
      <c r="C144" s="20" t="s">
        <v>71</v>
      </c>
      <c r="D144" s="20">
        <v>143.4</v>
      </c>
      <c r="E144" s="20">
        <v>0.2233</v>
      </c>
      <c r="F144" s="20">
        <v>13.51</v>
      </c>
      <c r="G144" s="28">
        <v>0.53900000000000003</v>
      </c>
      <c r="H144" s="19"/>
    </row>
    <row r="145" spans="2:8">
      <c r="B145" s="26" t="s">
        <v>146</v>
      </c>
      <c r="C145" s="20" t="s">
        <v>70</v>
      </c>
      <c r="D145" s="20">
        <v>119.7</v>
      </c>
      <c r="E145" s="20">
        <v>0.1855</v>
      </c>
      <c r="F145" s="20">
        <v>12.34</v>
      </c>
      <c r="G145" s="28">
        <v>0.48599999999999999</v>
      </c>
      <c r="H145" s="19"/>
    </row>
    <row r="146" spans="2:8">
      <c r="B146" s="26" t="s">
        <v>146</v>
      </c>
      <c r="C146" s="20" t="s">
        <v>69</v>
      </c>
      <c r="D146" s="20">
        <v>100.8</v>
      </c>
      <c r="E146" s="20">
        <v>0.15620000000000001</v>
      </c>
      <c r="F146" s="20">
        <v>11.33</v>
      </c>
      <c r="G146" s="28">
        <v>0.44600000000000001</v>
      </c>
      <c r="H146" s="19"/>
    </row>
    <row r="147" spans="2:8">
      <c r="B147" s="26" t="s">
        <v>146</v>
      </c>
      <c r="C147" s="20" t="s">
        <v>68</v>
      </c>
      <c r="D147" s="20">
        <v>74.709999999999994</v>
      </c>
      <c r="E147" s="20">
        <v>0.1158</v>
      </c>
      <c r="F147" s="20">
        <v>9.7539999999999996</v>
      </c>
      <c r="G147" s="28">
        <v>0.38400000000000001</v>
      </c>
      <c r="H147" s="19"/>
    </row>
    <row r="148" spans="2:8">
      <c r="B148" s="26" t="s">
        <v>146</v>
      </c>
      <c r="C148" s="20" t="s">
        <v>67</v>
      </c>
      <c r="D148" s="20">
        <v>62.77</v>
      </c>
      <c r="E148" s="20">
        <v>9.7299999999999998E-2</v>
      </c>
      <c r="F148" s="20">
        <v>8.9410000000000007</v>
      </c>
      <c r="G148" s="28">
        <v>0.35199999999999998</v>
      </c>
      <c r="H148" s="19"/>
    </row>
    <row r="149" spans="2:8">
      <c r="B149" s="26" t="s">
        <v>146</v>
      </c>
      <c r="C149" s="20" t="s">
        <v>66</v>
      </c>
      <c r="D149" s="20">
        <v>53.16</v>
      </c>
      <c r="E149" s="20">
        <v>8.2400000000000001E-2</v>
      </c>
      <c r="F149" s="20">
        <v>8.23</v>
      </c>
      <c r="G149" s="28">
        <v>0.32400000000000001</v>
      </c>
      <c r="H149" s="19"/>
    </row>
    <row r="150" spans="2:8">
      <c r="B150" s="26" t="s">
        <v>146</v>
      </c>
      <c r="C150" s="20" t="s">
        <v>65</v>
      </c>
      <c r="D150" s="20">
        <v>32.71</v>
      </c>
      <c r="E150" s="20">
        <v>5.0700000000000002E-2</v>
      </c>
      <c r="F150" s="20">
        <v>6.452</v>
      </c>
      <c r="G150" s="28">
        <v>0.254</v>
      </c>
      <c r="H150" s="19"/>
    </row>
    <row r="151" spans="2:8">
      <c r="B151" s="26" t="s">
        <v>146</v>
      </c>
      <c r="C151" s="20" t="s">
        <v>64</v>
      </c>
      <c r="D151" s="20">
        <v>23.61</v>
      </c>
      <c r="E151" s="20">
        <v>3.6600000000000001E-2</v>
      </c>
      <c r="F151" s="20">
        <v>5.4859999999999998</v>
      </c>
      <c r="G151" s="28">
        <v>0.216</v>
      </c>
      <c r="H151" s="19"/>
    </row>
    <row r="152" spans="2:8">
      <c r="B152" s="26" t="s">
        <v>146</v>
      </c>
      <c r="C152" s="20" t="s">
        <v>63</v>
      </c>
      <c r="D152" s="20">
        <v>13.61</v>
      </c>
      <c r="E152" s="20">
        <v>2.1100000000000001E-2</v>
      </c>
      <c r="F152" s="20">
        <v>4.1660000000000004</v>
      </c>
      <c r="G152" s="28">
        <v>0.16400000000000001</v>
      </c>
      <c r="H152" s="19"/>
    </row>
    <row r="153" spans="2:8">
      <c r="B153" s="26" t="s">
        <v>146</v>
      </c>
      <c r="C153" s="20" t="s">
        <v>62</v>
      </c>
      <c r="D153" s="20">
        <v>8.5809999999999995</v>
      </c>
      <c r="E153" s="20">
        <v>1.3299999999999999E-2</v>
      </c>
      <c r="F153" s="20">
        <v>3.302</v>
      </c>
      <c r="G153" s="28">
        <v>0.13</v>
      </c>
      <c r="H153" s="19"/>
    </row>
    <row r="154" spans="2:8">
      <c r="B154" s="26" t="s">
        <v>146</v>
      </c>
      <c r="C154" s="20" t="s">
        <v>61</v>
      </c>
      <c r="D154" s="20">
        <v>6.258</v>
      </c>
      <c r="E154" s="20">
        <v>9.7000000000000003E-3</v>
      </c>
      <c r="F154" s="20">
        <v>2.819</v>
      </c>
      <c r="G154" s="28">
        <v>0.111</v>
      </c>
      <c r="H154" s="19"/>
    </row>
    <row r="155" spans="2:8">
      <c r="B155" s="26" t="s">
        <v>142</v>
      </c>
      <c r="C155" s="20" t="s">
        <v>64</v>
      </c>
      <c r="D155" s="20">
        <v>28.19</v>
      </c>
      <c r="E155" s="20">
        <v>4.3700000000000003E-2</v>
      </c>
      <c r="F155" s="20">
        <v>5.9939999999999998</v>
      </c>
      <c r="G155" s="28">
        <v>0.23599999999999999</v>
      </c>
      <c r="H155" s="19"/>
    </row>
    <row r="156" spans="2:8">
      <c r="B156" s="26" t="s">
        <v>142</v>
      </c>
      <c r="C156" s="20" t="s">
        <v>63</v>
      </c>
      <c r="D156" s="20">
        <v>15.68</v>
      </c>
      <c r="E156" s="20">
        <v>2.4299999999999999E-2</v>
      </c>
      <c r="F156" s="20">
        <v>4.47</v>
      </c>
      <c r="G156" s="28">
        <v>0.17599999999999999</v>
      </c>
      <c r="H156" s="19"/>
    </row>
    <row r="157" spans="2:8">
      <c r="B157" s="26" t="s">
        <v>142</v>
      </c>
      <c r="C157" s="20" t="s">
        <v>62</v>
      </c>
      <c r="D157" s="20">
        <v>11.68</v>
      </c>
      <c r="E157" s="20">
        <v>1.8100000000000002E-2</v>
      </c>
      <c r="F157" s="20">
        <v>3.8610000000000002</v>
      </c>
      <c r="G157" s="28">
        <v>0.152</v>
      </c>
      <c r="H157" s="19"/>
    </row>
    <row r="158" spans="2:8" ht="30">
      <c r="B158" s="26" t="s">
        <v>141</v>
      </c>
      <c r="C158" s="20" t="s">
        <v>61</v>
      </c>
      <c r="D158" s="20">
        <v>8.968</v>
      </c>
      <c r="E158" s="20">
        <v>1.3899999999999999E-2</v>
      </c>
      <c r="F158" s="20">
        <v>3.3780000000000001</v>
      </c>
      <c r="G158" s="28">
        <v>0.13300000000000001</v>
      </c>
      <c r="H158" s="19"/>
    </row>
    <row r="159" spans="2:8">
      <c r="B159" s="27" t="s">
        <v>159</v>
      </c>
      <c r="C159" s="19" t="s">
        <v>88</v>
      </c>
      <c r="D159" s="19">
        <v>1682</v>
      </c>
      <c r="E159" s="19">
        <v>2.6073</v>
      </c>
      <c r="F159" s="19">
        <v>46.28</v>
      </c>
      <c r="G159" s="29">
        <v>1.8220000000000001</v>
      </c>
      <c r="H159" s="19"/>
    </row>
    <row r="160" spans="2:8">
      <c r="B160" s="27" t="s">
        <v>159</v>
      </c>
      <c r="C160" s="19" t="s">
        <v>87</v>
      </c>
      <c r="D160" s="19">
        <v>1492</v>
      </c>
      <c r="E160" s="19">
        <v>2.3127</v>
      </c>
      <c r="F160" s="19">
        <v>43.59</v>
      </c>
      <c r="G160" s="29">
        <v>1.716</v>
      </c>
      <c r="H160" s="19"/>
    </row>
    <row r="161" spans="2:8">
      <c r="B161" s="27" t="s">
        <v>159</v>
      </c>
      <c r="C161" s="19" t="s">
        <v>86</v>
      </c>
      <c r="D161" s="19">
        <v>1300</v>
      </c>
      <c r="E161" s="19">
        <v>2.0156000000000001</v>
      </c>
      <c r="F161" s="19">
        <v>40.69</v>
      </c>
      <c r="G161" s="29">
        <v>1.6020000000000001</v>
      </c>
      <c r="H161" s="19"/>
    </row>
    <row r="162" spans="2:8">
      <c r="B162" s="27" t="s">
        <v>159</v>
      </c>
      <c r="C162" s="19" t="s">
        <v>85</v>
      </c>
      <c r="D162" s="19">
        <v>1108</v>
      </c>
      <c r="E162" s="19">
        <v>1.718</v>
      </c>
      <c r="F162" s="19">
        <v>37.57</v>
      </c>
      <c r="G162" s="29">
        <v>1.4790000000000001</v>
      </c>
      <c r="H162" s="19"/>
    </row>
    <row r="163" spans="2:8">
      <c r="B163" s="27" t="s">
        <v>159</v>
      </c>
      <c r="C163" s="19" t="s">
        <v>84</v>
      </c>
      <c r="D163" s="19">
        <v>872.2</v>
      </c>
      <c r="E163" s="19">
        <v>1.3519000000000001</v>
      </c>
      <c r="F163" s="19">
        <v>33.32</v>
      </c>
      <c r="G163" s="29">
        <v>1.3120000000000001</v>
      </c>
      <c r="H163" s="19"/>
    </row>
    <row r="164" spans="2:8">
      <c r="B164" s="27" t="s">
        <v>159</v>
      </c>
      <c r="C164" s="19" t="s">
        <v>83</v>
      </c>
      <c r="D164" s="19">
        <v>796.8</v>
      </c>
      <c r="E164" s="19">
        <v>1.2351000000000001</v>
      </c>
      <c r="F164" s="19">
        <v>31.85</v>
      </c>
      <c r="G164" s="29">
        <v>1.254</v>
      </c>
      <c r="H164" s="19"/>
    </row>
    <row r="165" spans="2:8">
      <c r="B165" s="27" t="s">
        <v>159</v>
      </c>
      <c r="C165" s="19" t="s">
        <v>82</v>
      </c>
      <c r="D165" s="19">
        <v>717.5</v>
      </c>
      <c r="E165" s="19">
        <v>1.1122000000000001</v>
      </c>
      <c r="F165" s="19">
        <v>30.23</v>
      </c>
      <c r="G165" s="29">
        <v>1.19</v>
      </c>
      <c r="H165" s="19"/>
    </row>
    <row r="166" spans="2:8">
      <c r="B166" s="27" t="s">
        <v>159</v>
      </c>
      <c r="C166" s="19" t="s">
        <v>81</v>
      </c>
      <c r="D166" s="19">
        <v>679.5</v>
      </c>
      <c r="E166" s="19">
        <v>1.0531999999999999</v>
      </c>
      <c r="F166" s="19">
        <v>29.41</v>
      </c>
      <c r="G166" s="29">
        <v>1.1579999999999999</v>
      </c>
      <c r="H166" s="19"/>
    </row>
    <row r="167" spans="2:8">
      <c r="B167" s="27" t="s">
        <v>159</v>
      </c>
      <c r="C167" s="19" t="s">
        <v>80</v>
      </c>
      <c r="D167" s="19">
        <v>640.20000000000005</v>
      </c>
      <c r="E167" s="19">
        <v>0.99229999999999996</v>
      </c>
      <c r="F167" s="19">
        <v>28.55</v>
      </c>
      <c r="G167" s="29">
        <v>1.1240000000000001</v>
      </c>
      <c r="H167" s="19"/>
    </row>
    <row r="168" spans="2:8">
      <c r="B168" s="27" t="s">
        <v>159</v>
      </c>
      <c r="C168" s="19" t="s">
        <v>79</v>
      </c>
      <c r="D168" s="19">
        <v>561.9</v>
      </c>
      <c r="E168" s="19">
        <v>0.87090000000000001</v>
      </c>
      <c r="F168" s="19">
        <v>26.75</v>
      </c>
      <c r="G168" s="29">
        <v>1.0529999999999999</v>
      </c>
      <c r="H168" s="19"/>
    </row>
    <row r="169" spans="2:8">
      <c r="B169" s="27" t="s">
        <v>159</v>
      </c>
      <c r="C169" s="19" t="s">
        <v>78</v>
      </c>
      <c r="D169" s="19">
        <v>450.6</v>
      </c>
      <c r="E169" s="19">
        <v>0.69840000000000002</v>
      </c>
      <c r="F169" s="19">
        <v>23.95</v>
      </c>
      <c r="G169" s="29">
        <v>0.94299999999999995</v>
      </c>
      <c r="H169" s="19"/>
    </row>
    <row r="170" spans="2:8">
      <c r="B170" s="27" t="s">
        <v>159</v>
      </c>
      <c r="C170" s="19" t="s">
        <v>77</v>
      </c>
      <c r="D170" s="19">
        <v>373</v>
      </c>
      <c r="E170" s="19">
        <v>0.57820000000000005</v>
      </c>
      <c r="F170" s="19">
        <v>21.79</v>
      </c>
      <c r="G170" s="29">
        <v>0.85799999999999998</v>
      </c>
      <c r="H170" s="19"/>
    </row>
    <row r="171" spans="2:8">
      <c r="B171" s="27" t="s">
        <v>159</v>
      </c>
      <c r="C171" s="19" t="s">
        <v>76</v>
      </c>
      <c r="D171" s="19">
        <v>333.3</v>
      </c>
      <c r="E171" s="19">
        <v>0.51659999999999995</v>
      </c>
      <c r="F171" s="19">
        <v>20.6</v>
      </c>
      <c r="G171" s="29">
        <v>0.81100000000000005</v>
      </c>
      <c r="H171" s="19"/>
    </row>
    <row r="172" spans="2:8">
      <c r="B172" s="27" t="s">
        <v>159</v>
      </c>
      <c r="C172" s="19" t="s">
        <v>75</v>
      </c>
      <c r="D172" s="19">
        <v>292.60000000000002</v>
      </c>
      <c r="E172" s="19">
        <v>0.4536</v>
      </c>
      <c r="F172" s="19">
        <v>19.8</v>
      </c>
      <c r="G172" s="29">
        <v>0.78</v>
      </c>
      <c r="H172" s="19"/>
    </row>
    <row r="173" spans="2:8">
      <c r="B173" s="27" t="s">
        <v>159</v>
      </c>
      <c r="C173" s="19" t="s">
        <v>74</v>
      </c>
      <c r="D173" s="19">
        <v>251.9</v>
      </c>
      <c r="E173" s="19">
        <v>0.39040000000000002</v>
      </c>
      <c r="F173" s="19">
        <v>17.91</v>
      </c>
      <c r="G173" s="29">
        <v>0.70499999999999996</v>
      </c>
      <c r="H173" s="19"/>
    </row>
    <row r="174" spans="2:8">
      <c r="B174" s="27" t="s">
        <v>159</v>
      </c>
      <c r="C174" s="19" t="s">
        <v>73</v>
      </c>
      <c r="D174" s="19">
        <v>206.3</v>
      </c>
      <c r="E174" s="19">
        <v>0.31969999999999998</v>
      </c>
      <c r="F174" s="19">
        <v>16.21</v>
      </c>
      <c r="G174" s="29">
        <v>0.63800000000000001</v>
      </c>
      <c r="H174" s="19"/>
    </row>
    <row r="175" spans="2:8">
      <c r="B175" s="27" t="s">
        <v>159</v>
      </c>
      <c r="C175" s="19" t="s">
        <v>72</v>
      </c>
      <c r="D175" s="19">
        <v>170.5</v>
      </c>
      <c r="E175" s="19">
        <v>0.26419999999999999</v>
      </c>
      <c r="F175" s="19">
        <v>14.73</v>
      </c>
      <c r="G175" s="29">
        <v>0.57999999999999996</v>
      </c>
      <c r="H175" s="19"/>
    </row>
    <row r="176" spans="2:8">
      <c r="B176" s="27" t="s">
        <v>159</v>
      </c>
      <c r="C176" s="19" t="s">
        <v>71</v>
      </c>
      <c r="D176" s="19">
        <v>141.30000000000001</v>
      </c>
      <c r="E176" s="19">
        <v>0.219</v>
      </c>
      <c r="F176" s="19">
        <v>13.41</v>
      </c>
      <c r="G176" s="29">
        <v>0.52800000000000002</v>
      </c>
      <c r="H176" s="19"/>
    </row>
    <row r="177" spans="2:8">
      <c r="B177" s="27" t="s">
        <v>159</v>
      </c>
      <c r="C177" s="19" t="s">
        <v>70</v>
      </c>
      <c r="D177" s="19">
        <v>117.7</v>
      </c>
      <c r="E177" s="19">
        <v>0.1825</v>
      </c>
      <c r="F177" s="19">
        <v>12.24</v>
      </c>
      <c r="G177" s="29">
        <v>0.48199999999999998</v>
      </c>
      <c r="H177" s="19"/>
    </row>
    <row r="178" spans="2:8">
      <c r="B178" s="27" t="s">
        <v>159</v>
      </c>
      <c r="C178" s="19" t="s">
        <v>69</v>
      </c>
      <c r="D178" s="19">
        <v>98.97</v>
      </c>
      <c r="E178" s="19">
        <v>0.15340000000000001</v>
      </c>
      <c r="F178" s="19">
        <v>11.23</v>
      </c>
      <c r="G178" s="29">
        <v>0.442</v>
      </c>
      <c r="H178" s="19"/>
    </row>
    <row r="179" spans="2:8">
      <c r="B179" s="27" t="s">
        <v>158</v>
      </c>
      <c r="C179" s="19" t="s">
        <v>68</v>
      </c>
      <c r="D179" s="19">
        <v>73.94</v>
      </c>
      <c r="E179" s="19">
        <v>0.11459999999999999</v>
      </c>
      <c r="F179" s="19">
        <v>9.7029999999999994</v>
      </c>
      <c r="G179" s="29">
        <v>0.38200000000000001</v>
      </c>
      <c r="H179" s="19"/>
    </row>
    <row r="180" spans="2:8">
      <c r="B180" s="27" t="s">
        <v>158</v>
      </c>
      <c r="C180" s="19" t="s">
        <v>67</v>
      </c>
      <c r="D180" s="19">
        <v>62.06</v>
      </c>
      <c r="E180" s="19">
        <v>9.6199999999999994E-2</v>
      </c>
      <c r="F180" s="19">
        <v>8.89</v>
      </c>
      <c r="G180" s="29">
        <v>0.35</v>
      </c>
      <c r="H180" s="19"/>
    </row>
    <row r="181" spans="2:8">
      <c r="B181" s="27" t="s">
        <v>158</v>
      </c>
      <c r="C181" s="19" t="s">
        <v>66</v>
      </c>
      <c r="D181" s="19">
        <v>52.52</v>
      </c>
      <c r="E181" s="19">
        <v>8.14E-2</v>
      </c>
      <c r="F181" s="19">
        <v>8.1790000000000003</v>
      </c>
      <c r="G181" s="29">
        <v>0.32200000000000001</v>
      </c>
      <c r="H181" s="19"/>
    </row>
    <row r="182" spans="2:8">
      <c r="B182" s="27" t="s">
        <v>158</v>
      </c>
      <c r="C182" s="19" t="s">
        <v>65</v>
      </c>
      <c r="D182" s="19">
        <v>38.06</v>
      </c>
      <c r="E182" s="19">
        <v>5.8999999999999997E-2</v>
      </c>
      <c r="F182" s="19">
        <v>6.96</v>
      </c>
      <c r="G182" s="29">
        <v>0.27400000000000002</v>
      </c>
      <c r="H182" s="19"/>
    </row>
    <row r="183" spans="2:8">
      <c r="B183" s="27" t="s">
        <v>158</v>
      </c>
      <c r="C183" s="19" t="s">
        <v>64</v>
      </c>
      <c r="D183" s="19">
        <v>28.19</v>
      </c>
      <c r="E183" s="19">
        <v>4.3700000000000003E-2</v>
      </c>
      <c r="F183" s="19">
        <v>5.9939999999999998</v>
      </c>
      <c r="G183" s="29">
        <v>0.23599999999999999</v>
      </c>
      <c r="H183" s="19"/>
    </row>
    <row r="184" spans="2:8">
      <c r="B184" s="27" t="s">
        <v>158</v>
      </c>
      <c r="C184" s="19" t="s">
        <v>63</v>
      </c>
      <c r="D184" s="19">
        <v>15.68</v>
      </c>
      <c r="E184" s="19">
        <v>2.4299999999999999E-2</v>
      </c>
      <c r="F184" s="19">
        <v>4.47</v>
      </c>
      <c r="G184" s="29">
        <v>0.17599999999999999</v>
      </c>
      <c r="H184" s="19"/>
    </row>
    <row r="185" spans="2:8">
      <c r="B185" s="27" t="s">
        <v>158</v>
      </c>
      <c r="C185" s="19" t="s">
        <v>62</v>
      </c>
      <c r="D185" s="19">
        <v>11.68</v>
      </c>
      <c r="E185" s="19">
        <v>1.8100000000000002E-2</v>
      </c>
      <c r="F185" s="19">
        <v>3.8610000000000002</v>
      </c>
      <c r="G185" s="29">
        <v>0.152</v>
      </c>
      <c r="H185" s="19"/>
    </row>
    <row r="186" spans="2:8">
      <c r="B186" s="27" t="s">
        <v>158</v>
      </c>
      <c r="C186" s="19" t="s">
        <v>61</v>
      </c>
      <c r="D186" s="19">
        <v>8.968</v>
      </c>
      <c r="E186" s="19">
        <v>1.3899999999999999E-2</v>
      </c>
      <c r="F186" s="19">
        <v>3.3780000000000001</v>
      </c>
      <c r="G186" s="29">
        <v>0.13300000000000001</v>
      </c>
      <c r="H186" s="19"/>
    </row>
    <row r="187" spans="2:8">
      <c r="B187" s="27" t="s">
        <v>157</v>
      </c>
      <c r="C187" s="19" t="s">
        <v>69</v>
      </c>
      <c r="D187" s="19">
        <v>81.87</v>
      </c>
      <c r="E187" s="19">
        <v>0.12690000000000001</v>
      </c>
      <c r="F187" s="19">
        <v>10.210000000000001</v>
      </c>
      <c r="G187" s="29">
        <v>0.40200000000000002</v>
      </c>
      <c r="H187" s="19"/>
    </row>
    <row r="188" spans="2:8">
      <c r="B188" s="27" t="s">
        <v>157</v>
      </c>
      <c r="C188" s="19" t="s">
        <v>68</v>
      </c>
      <c r="D188" s="19">
        <v>66.39</v>
      </c>
      <c r="E188" s="19">
        <v>0.10290000000000001</v>
      </c>
      <c r="F188" s="19">
        <v>9.1590000000000007</v>
      </c>
      <c r="G188" s="29">
        <v>0.36</v>
      </c>
      <c r="H188" s="19"/>
    </row>
    <row r="189" spans="2:8">
      <c r="B189" s="27" t="s">
        <v>157</v>
      </c>
      <c r="C189" s="19" t="s">
        <v>67</v>
      </c>
      <c r="D189" s="19">
        <v>55.96</v>
      </c>
      <c r="E189" s="19">
        <v>8.6499999999999994E-2</v>
      </c>
      <c r="F189" s="19">
        <v>8.3819999999999997</v>
      </c>
      <c r="G189" s="29">
        <v>0.33</v>
      </c>
      <c r="H189" s="19"/>
    </row>
    <row r="190" spans="2:8">
      <c r="B190" s="27" t="s">
        <v>157</v>
      </c>
      <c r="C190" s="19" t="s">
        <v>66</v>
      </c>
      <c r="D190" s="19">
        <v>40.32</v>
      </c>
      <c r="E190" s="19">
        <v>6.25E-2</v>
      </c>
      <c r="F190" s="19">
        <v>7.1630000000000003</v>
      </c>
      <c r="G190" s="29">
        <v>0.28199999999999997</v>
      </c>
      <c r="H190" s="19"/>
    </row>
    <row r="191" spans="2:8">
      <c r="B191" s="27" t="s">
        <v>157</v>
      </c>
      <c r="C191" s="19" t="s">
        <v>65</v>
      </c>
      <c r="D191" s="19">
        <v>27.74</v>
      </c>
      <c r="E191" s="19">
        <v>4.2999999999999997E-2</v>
      </c>
      <c r="F191" s="19">
        <v>5.9139999999999997</v>
      </c>
      <c r="G191" s="29">
        <v>0.23200000000000001</v>
      </c>
      <c r="H191" s="19"/>
    </row>
    <row r="192" spans="2:8">
      <c r="B192" s="27" t="s">
        <v>157</v>
      </c>
      <c r="C192" s="19" t="s">
        <v>64</v>
      </c>
      <c r="D192" s="19">
        <v>19.78</v>
      </c>
      <c r="E192" s="19">
        <v>3.0200000000000001E-2</v>
      </c>
      <c r="F192" s="19">
        <v>4.9779999999999998</v>
      </c>
      <c r="G192" s="29">
        <v>0.19600000000000001</v>
      </c>
      <c r="H192" s="19"/>
    </row>
    <row r="193" spans="2:8">
      <c r="B193" s="27" t="s">
        <v>157</v>
      </c>
      <c r="C193" s="19" t="s">
        <v>63</v>
      </c>
      <c r="D193" s="19">
        <v>12.32</v>
      </c>
      <c r="E193" s="19">
        <v>1.9099999999999999E-2</v>
      </c>
      <c r="F193" s="19">
        <v>3.9620000000000002</v>
      </c>
      <c r="G193" s="29">
        <v>0.156</v>
      </c>
      <c r="H193" s="19"/>
    </row>
    <row r="194" spans="2:8">
      <c r="B194" s="27" t="s">
        <v>157</v>
      </c>
      <c r="C194" s="19" t="s">
        <v>62</v>
      </c>
      <c r="D194" s="19">
        <v>7.548</v>
      </c>
      <c r="E194" s="19">
        <v>1.17E-2</v>
      </c>
      <c r="F194" s="19">
        <v>3.0089999999999999</v>
      </c>
      <c r="G194" s="29">
        <v>0.11799999999999999</v>
      </c>
      <c r="H194" s="19"/>
    </row>
    <row r="195" spans="2:8">
      <c r="B195" s="27" t="s">
        <v>156</v>
      </c>
      <c r="C195" s="19" t="s">
        <v>61</v>
      </c>
      <c r="D195" s="19">
        <v>5.3550000000000004</v>
      </c>
      <c r="E195" s="19">
        <v>8.3000000000000001E-3</v>
      </c>
      <c r="F195" s="19">
        <v>2.6160000000000001</v>
      </c>
      <c r="G195" s="29">
        <v>0.10299999999999999</v>
      </c>
      <c r="H195" s="19"/>
    </row>
    <row r="196" spans="2:8">
      <c r="B196" s="27" t="s">
        <v>155</v>
      </c>
      <c r="C196" s="19" t="s">
        <v>60</v>
      </c>
      <c r="D196" s="19">
        <v>3.9350000000000001</v>
      </c>
      <c r="E196" s="19">
        <v>6.1000000000000004E-3</v>
      </c>
      <c r="F196" s="19">
        <v>2.2349999999999999</v>
      </c>
      <c r="G196" s="29">
        <v>8.7999999999999995E-2</v>
      </c>
      <c r="H196" s="19"/>
    </row>
    <row r="197" spans="2:8">
      <c r="B197" s="24" t="s">
        <v>155</v>
      </c>
      <c r="C197" s="30" t="s">
        <v>59</v>
      </c>
      <c r="D197" s="30">
        <v>2.903</v>
      </c>
      <c r="E197" s="30">
        <v>4.4999999999999997E-3</v>
      </c>
      <c r="F197" s="30">
        <v>1.93</v>
      </c>
      <c r="G197" s="23">
        <v>7.5999999999999998E-2</v>
      </c>
      <c r="H197" s="30"/>
    </row>
    <row r="200" spans="2:8">
      <c r="B200" s="25"/>
      <c r="C200" s="25"/>
    </row>
  </sheetData>
  <mergeCells count="4">
    <mergeCell ref="B2:O2"/>
    <mergeCell ref="B18:O18"/>
    <mergeCell ref="B28:O28"/>
    <mergeCell ref="R2:W2"/>
  </mergeCells>
  <phoneticPr fontId="10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1B541-1E62-42BC-B112-9F00D9224B9F}">
  <sheetPr>
    <tabColor rgb="FFFFFF00"/>
    <pageSetUpPr fitToPage="1"/>
  </sheetPr>
  <dimension ref="A1:K791"/>
  <sheetViews>
    <sheetView topLeftCell="D1" zoomScale="115" zoomScaleNormal="115" workbookViewId="0">
      <pane ySplit="1" topLeftCell="A510" activePane="bottomLeft" state="frozen"/>
      <selection pane="bottomLeft" activeCell="J536" sqref="J536"/>
    </sheetView>
  </sheetViews>
  <sheetFormatPr defaultColWidth="9.140625" defaultRowHeight="13.5"/>
  <cols>
    <col min="1" max="1" width="19.5703125" style="58" customWidth="1"/>
    <col min="2" max="2" width="26.140625" style="58" customWidth="1"/>
    <col min="3" max="3" width="33" style="58" customWidth="1"/>
    <col min="4" max="4" width="27.85546875" style="58" customWidth="1"/>
    <col min="5" max="5" width="82.7109375" style="58" customWidth="1"/>
    <col min="6" max="6" width="20.85546875" style="65" customWidth="1"/>
    <col min="7" max="7" width="24.7109375" style="58" customWidth="1"/>
    <col min="8" max="8" width="11.5703125" style="120" customWidth="1"/>
    <col min="9" max="9" width="22.85546875" style="65" customWidth="1"/>
    <col min="10" max="10" width="35.85546875" style="120" customWidth="1"/>
    <col min="11" max="16384" width="9.140625" style="58"/>
  </cols>
  <sheetData>
    <row r="1" spans="1:10" ht="27">
      <c r="A1" s="55" t="s">
        <v>389</v>
      </c>
      <c r="B1" s="55" t="s">
        <v>390</v>
      </c>
      <c r="C1" s="55" t="s">
        <v>391</v>
      </c>
      <c r="D1" s="56" t="s">
        <v>392</v>
      </c>
      <c r="E1" s="56" t="s">
        <v>393</v>
      </c>
      <c r="F1" s="55" t="s">
        <v>394</v>
      </c>
      <c r="G1" s="55" t="s">
        <v>395</v>
      </c>
      <c r="H1" s="55" t="s">
        <v>396</v>
      </c>
      <c r="I1" s="55" t="s">
        <v>397</v>
      </c>
      <c r="J1" s="57" t="s">
        <v>398</v>
      </c>
    </row>
    <row r="2" spans="1:10">
      <c r="A2" s="59" t="s">
        <v>442</v>
      </c>
      <c r="B2" s="59"/>
      <c r="C2" s="60">
        <v>241000208</v>
      </c>
      <c r="D2" s="59"/>
      <c r="E2" s="59" t="s">
        <v>721</v>
      </c>
      <c r="F2" s="64" t="s">
        <v>710</v>
      </c>
      <c r="G2" s="59" t="s">
        <v>711</v>
      </c>
      <c r="H2" s="62"/>
      <c r="I2" s="63"/>
      <c r="J2" s="142" t="s">
        <v>722</v>
      </c>
    </row>
    <row r="3" spans="1:10">
      <c r="A3" s="59" t="s">
        <v>413</v>
      </c>
      <c r="B3" s="59"/>
      <c r="C3" s="60">
        <v>241000135</v>
      </c>
      <c r="D3" s="59"/>
      <c r="E3" s="59" t="s">
        <v>595</v>
      </c>
      <c r="F3" s="64" t="s">
        <v>69</v>
      </c>
      <c r="G3" s="59" t="s">
        <v>416</v>
      </c>
      <c r="H3" s="62"/>
      <c r="I3" s="63"/>
      <c r="J3" s="57"/>
    </row>
    <row r="4" spans="1:10">
      <c r="A4" s="59" t="s">
        <v>621</v>
      </c>
      <c r="B4" s="59"/>
      <c r="C4" s="60">
        <v>241000162</v>
      </c>
      <c r="D4" s="59"/>
      <c r="E4" s="59" t="s">
        <v>636</v>
      </c>
      <c r="F4" s="64" t="s">
        <v>637</v>
      </c>
      <c r="G4" s="59" t="s">
        <v>620</v>
      </c>
      <c r="H4" s="62"/>
      <c r="I4" s="63"/>
      <c r="J4" s="57"/>
    </row>
    <row r="5" spans="1:10">
      <c r="A5" s="59" t="s">
        <v>413</v>
      </c>
      <c r="B5" s="59"/>
      <c r="C5" s="60">
        <v>241000328</v>
      </c>
      <c r="D5" s="59"/>
      <c r="E5" s="59" t="s">
        <v>902</v>
      </c>
      <c r="F5" s="94" t="s">
        <v>637</v>
      </c>
      <c r="G5" s="60" t="s">
        <v>416</v>
      </c>
      <c r="H5" s="62"/>
      <c r="I5" s="63"/>
      <c r="J5" s="146"/>
    </row>
    <row r="6" spans="1:10" ht="12.75" customHeight="1">
      <c r="A6" s="59" t="s">
        <v>413</v>
      </c>
      <c r="B6" s="59"/>
      <c r="C6" s="60">
        <v>241000164</v>
      </c>
      <c r="D6" s="59"/>
      <c r="E6" s="59" t="s">
        <v>639</v>
      </c>
      <c r="F6" s="64" t="s">
        <v>70</v>
      </c>
      <c r="G6" s="59" t="s">
        <v>416</v>
      </c>
      <c r="H6" s="62"/>
      <c r="I6" s="63"/>
      <c r="J6" s="56"/>
    </row>
    <row r="7" spans="1:10">
      <c r="A7" s="68" t="s">
        <v>442</v>
      </c>
      <c r="B7" s="68">
        <v>51000105</v>
      </c>
      <c r="C7" s="68"/>
      <c r="D7" s="68" t="s">
        <v>1281</v>
      </c>
      <c r="E7" s="68" t="s">
        <v>1282</v>
      </c>
      <c r="F7" s="80" t="s">
        <v>1283</v>
      </c>
      <c r="G7" s="106" t="s">
        <v>1063</v>
      </c>
      <c r="H7" s="62"/>
      <c r="I7" s="63"/>
      <c r="J7" s="56"/>
    </row>
    <row r="8" spans="1:10">
      <c r="A8" s="68" t="s">
        <v>621</v>
      </c>
      <c r="B8" s="68">
        <v>90459365</v>
      </c>
      <c r="C8" s="55"/>
      <c r="D8" s="56"/>
      <c r="E8" s="66" t="s">
        <v>1330</v>
      </c>
      <c r="F8" s="55" t="s">
        <v>61</v>
      </c>
      <c r="G8" s="68" t="s">
        <v>969</v>
      </c>
      <c r="H8" s="139"/>
      <c r="I8" s="139"/>
      <c r="J8" s="56"/>
    </row>
    <row r="9" spans="1:10">
      <c r="A9" s="68" t="s">
        <v>621</v>
      </c>
      <c r="B9" s="60">
        <v>50110061</v>
      </c>
      <c r="C9" s="68"/>
      <c r="D9" s="68"/>
      <c r="E9" s="59" t="s">
        <v>1058</v>
      </c>
      <c r="F9" s="134" t="s">
        <v>1059</v>
      </c>
      <c r="G9" s="106" t="s">
        <v>1006</v>
      </c>
      <c r="H9" s="62"/>
      <c r="I9" s="63"/>
      <c r="J9" s="56"/>
    </row>
    <row r="10" spans="1:10">
      <c r="A10" s="68" t="s">
        <v>621</v>
      </c>
      <c r="B10" s="60">
        <v>50110153</v>
      </c>
      <c r="C10" s="68"/>
      <c r="D10" s="68"/>
      <c r="E10" s="59" t="s">
        <v>1099</v>
      </c>
      <c r="F10" s="134" t="s">
        <v>1059</v>
      </c>
      <c r="G10" s="106" t="s">
        <v>1006</v>
      </c>
      <c r="H10" s="62"/>
      <c r="I10" s="63"/>
      <c r="J10" s="56"/>
    </row>
    <row r="11" spans="1:10">
      <c r="A11" s="68" t="s">
        <v>621</v>
      </c>
      <c r="B11" s="60">
        <v>50110062</v>
      </c>
      <c r="C11" s="68"/>
      <c r="D11" s="68"/>
      <c r="E11" s="59" t="s">
        <v>1060</v>
      </c>
      <c r="F11" s="80" t="s">
        <v>1059</v>
      </c>
      <c r="G11" s="106" t="s">
        <v>1006</v>
      </c>
      <c r="H11" s="62"/>
      <c r="I11" s="63"/>
      <c r="J11" s="56"/>
    </row>
    <row r="12" spans="1:10" ht="12.75" customHeight="1">
      <c r="A12" s="68" t="s">
        <v>621</v>
      </c>
      <c r="B12" s="60">
        <v>50110261</v>
      </c>
      <c r="C12" s="68"/>
      <c r="D12" s="68"/>
      <c r="E12" s="59" t="s">
        <v>1132</v>
      </c>
      <c r="F12" s="80" t="s">
        <v>1133</v>
      </c>
      <c r="G12" s="106" t="s">
        <v>1006</v>
      </c>
      <c r="H12" s="62"/>
      <c r="I12" s="63"/>
      <c r="J12" s="56"/>
    </row>
    <row r="13" spans="1:10" ht="12.75" customHeight="1">
      <c r="A13" s="68" t="s">
        <v>621</v>
      </c>
      <c r="B13" s="60">
        <v>50110266</v>
      </c>
      <c r="C13" s="68"/>
      <c r="D13" s="68"/>
      <c r="E13" s="59" t="s">
        <v>1138</v>
      </c>
      <c r="F13" s="80" t="s">
        <v>1133</v>
      </c>
      <c r="G13" s="106" t="s">
        <v>1006</v>
      </c>
      <c r="H13" s="62"/>
      <c r="I13" s="63"/>
      <c r="J13" s="56"/>
    </row>
    <row r="14" spans="1:10" ht="12.75" customHeight="1">
      <c r="A14" s="68" t="s">
        <v>621</v>
      </c>
      <c r="B14" s="60">
        <v>50110299</v>
      </c>
      <c r="C14" s="68"/>
      <c r="D14" s="68"/>
      <c r="E14" s="59" t="s">
        <v>1145</v>
      </c>
      <c r="F14" s="80" t="s">
        <v>1133</v>
      </c>
      <c r="G14" s="106" t="s">
        <v>1006</v>
      </c>
      <c r="H14" s="56"/>
      <c r="I14" s="63"/>
      <c r="J14" s="56"/>
    </row>
    <row r="15" spans="1:10" ht="12.75" customHeight="1">
      <c r="A15" s="68" t="s">
        <v>621</v>
      </c>
      <c r="B15" s="60">
        <v>50110264</v>
      </c>
      <c r="C15" s="68"/>
      <c r="D15" s="68"/>
      <c r="E15" s="59" t="s">
        <v>1136</v>
      </c>
      <c r="F15" s="80" t="s">
        <v>1133</v>
      </c>
      <c r="G15" s="106" t="s">
        <v>1006</v>
      </c>
      <c r="H15" s="56"/>
      <c r="I15" s="63"/>
      <c r="J15" s="56"/>
    </row>
    <row r="16" spans="1:10" ht="12.75" customHeight="1">
      <c r="A16" s="68" t="s">
        <v>621</v>
      </c>
      <c r="B16" s="60">
        <v>50110265</v>
      </c>
      <c r="C16" s="68"/>
      <c r="D16" s="68"/>
      <c r="E16" s="59" t="s">
        <v>1137</v>
      </c>
      <c r="F16" s="80" t="s">
        <v>1133</v>
      </c>
      <c r="G16" s="106" t="s">
        <v>1006</v>
      </c>
      <c r="H16" s="56"/>
      <c r="I16" s="63"/>
      <c r="J16" s="56"/>
    </row>
    <row r="17" spans="1:11" ht="12.75" customHeight="1">
      <c r="A17" s="68" t="s">
        <v>621</v>
      </c>
      <c r="B17" s="60">
        <v>50110262</v>
      </c>
      <c r="C17" s="68"/>
      <c r="D17" s="68"/>
      <c r="E17" s="59" t="s">
        <v>1134</v>
      </c>
      <c r="F17" s="80" t="s">
        <v>1133</v>
      </c>
      <c r="G17" s="106" t="s">
        <v>1006</v>
      </c>
      <c r="H17" s="56"/>
      <c r="I17" s="63"/>
      <c r="J17" s="56"/>
      <c r="K17" s="67"/>
    </row>
    <row r="18" spans="1:11" ht="12.75" customHeight="1">
      <c r="A18" s="68" t="s">
        <v>621</v>
      </c>
      <c r="B18" s="60">
        <v>50110300</v>
      </c>
      <c r="C18" s="68"/>
      <c r="D18" s="68"/>
      <c r="E18" s="59" t="s">
        <v>1146</v>
      </c>
      <c r="F18" s="80" t="s">
        <v>1133</v>
      </c>
      <c r="G18" s="106" t="s">
        <v>1006</v>
      </c>
      <c r="H18" s="56"/>
      <c r="I18" s="63"/>
      <c r="J18" s="56"/>
    </row>
    <row r="19" spans="1:11" ht="12.75" customHeight="1">
      <c r="A19" s="68" t="s">
        <v>621</v>
      </c>
      <c r="B19" s="60">
        <v>50110263</v>
      </c>
      <c r="C19" s="68"/>
      <c r="D19" s="68"/>
      <c r="E19" s="59" t="s">
        <v>1135</v>
      </c>
      <c r="F19" s="80" t="s">
        <v>1133</v>
      </c>
      <c r="G19" s="106" t="s">
        <v>1006</v>
      </c>
      <c r="H19" s="56"/>
      <c r="I19" s="63"/>
      <c r="J19" s="56"/>
    </row>
    <row r="20" spans="1:11" ht="12.75" customHeight="1">
      <c r="A20" s="68" t="s">
        <v>621</v>
      </c>
      <c r="B20" s="60">
        <v>50110277</v>
      </c>
      <c r="C20" s="68"/>
      <c r="D20" s="68"/>
      <c r="E20" s="59" t="s">
        <v>1142</v>
      </c>
      <c r="F20" s="80" t="s">
        <v>1133</v>
      </c>
      <c r="G20" s="106" t="s">
        <v>1006</v>
      </c>
      <c r="H20" s="56"/>
      <c r="I20" s="63"/>
      <c r="J20" s="56"/>
    </row>
    <row r="21" spans="1:11" ht="12.75" customHeight="1">
      <c r="A21" s="59" t="s">
        <v>413</v>
      </c>
      <c r="B21" s="59"/>
      <c r="C21" s="60">
        <v>241000137</v>
      </c>
      <c r="D21" s="59"/>
      <c r="E21" s="59" t="s">
        <v>597</v>
      </c>
      <c r="F21" s="64" t="s">
        <v>68</v>
      </c>
      <c r="G21" s="59" t="s">
        <v>416</v>
      </c>
      <c r="H21" s="56"/>
      <c r="I21" s="63"/>
      <c r="J21" s="56"/>
    </row>
    <row r="22" spans="1:11" ht="12.75" customHeight="1">
      <c r="A22" s="59" t="s">
        <v>413</v>
      </c>
      <c r="B22" s="59"/>
      <c r="C22" s="60">
        <v>241000136</v>
      </c>
      <c r="D22" s="59"/>
      <c r="E22" s="59" t="s">
        <v>596</v>
      </c>
      <c r="F22" s="64" t="s">
        <v>68</v>
      </c>
      <c r="G22" s="59" t="s">
        <v>416</v>
      </c>
      <c r="H22" s="56">
        <v>20</v>
      </c>
      <c r="I22" s="63"/>
      <c r="J22" s="56"/>
    </row>
    <row r="23" spans="1:11" ht="12.75" customHeight="1">
      <c r="A23" s="59" t="s">
        <v>621</v>
      </c>
      <c r="B23" s="59"/>
      <c r="C23" s="60">
        <v>241000156</v>
      </c>
      <c r="D23" s="59"/>
      <c r="E23" s="59" t="s">
        <v>626</v>
      </c>
      <c r="F23" s="64" t="s">
        <v>627</v>
      </c>
      <c r="G23" s="59" t="s">
        <v>620</v>
      </c>
      <c r="H23" s="56"/>
      <c r="I23" s="63"/>
      <c r="J23" s="56"/>
    </row>
    <row r="24" spans="1:11" ht="12.75" customHeight="1">
      <c r="A24" s="59" t="s">
        <v>621</v>
      </c>
      <c r="B24" s="59"/>
      <c r="C24" s="60">
        <v>241000176</v>
      </c>
      <c r="D24" s="59"/>
      <c r="E24" s="59" t="s">
        <v>658</v>
      </c>
      <c r="F24" s="64" t="s">
        <v>659</v>
      </c>
      <c r="G24" s="59" t="s">
        <v>620</v>
      </c>
      <c r="H24" s="56"/>
      <c r="I24" s="63"/>
      <c r="J24" s="56"/>
    </row>
    <row r="25" spans="1:11" ht="12.75" customHeight="1">
      <c r="A25" s="68" t="s">
        <v>621</v>
      </c>
      <c r="B25" s="60">
        <v>90459367</v>
      </c>
      <c r="C25" s="68"/>
      <c r="D25" s="68"/>
      <c r="E25" s="59" t="s">
        <v>1331</v>
      </c>
      <c r="F25" s="80" t="s">
        <v>774</v>
      </c>
      <c r="G25" s="106" t="s">
        <v>620</v>
      </c>
      <c r="H25" s="56"/>
      <c r="I25" s="63"/>
      <c r="J25" s="56"/>
    </row>
    <row r="26" spans="1:11" ht="12.75" customHeight="1">
      <c r="A26" s="59" t="s">
        <v>413</v>
      </c>
      <c r="B26" s="59"/>
      <c r="C26" s="60">
        <v>241000138</v>
      </c>
      <c r="D26" s="59"/>
      <c r="E26" s="59" t="s">
        <v>598</v>
      </c>
      <c r="F26" s="64" t="s">
        <v>71</v>
      </c>
      <c r="G26" s="59" t="s">
        <v>416</v>
      </c>
      <c r="H26" s="56"/>
      <c r="I26" s="63"/>
      <c r="J26" s="56"/>
    </row>
    <row r="27" spans="1:11" ht="12.75" customHeight="1">
      <c r="A27" s="59" t="s">
        <v>413</v>
      </c>
      <c r="B27" s="59"/>
      <c r="C27" s="60">
        <v>241000351</v>
      </c>
      <c r="D27" s="59"/>
      <c r="E27" s="59" t="s">
        <v>942</v>
      </c>
      <c r="F27" s="64" t="s">
        <v>943</v>
      </c>
      <c r="G27" s="60"/>
      <c r="H27" s="56"/>
      <c r="I27" s="63"/>
      <c r="J27" s="146" t="s">
        <v>944</v>
      </c>
    </row>
    <row r="28" spans="1:11" ht="12.75" customHeight="1">
      <c r="A28" s="59" t="s">
        <v>413</v>
      </c>
      <c r="B28" s="59"/>
      <c r="C28" s="60">
        <v>241000140</v>
      </c>
      <c r="D28" s="59"/>
      <c r="E28" s="59" t="s">
        <v>601</v>
      </c>
      <c r="F28" s="64" t="s">
        <v>602</v>
      </c>
      <c r="G28" s="59" t="s">
        <v>416</v>
      </c>
      <c r="H28" s="56"/>
      <c r="I28" s="63"/>
      <c r="J28" s="56"/>
    </row>
    <row r="29" spans="1:11" ht="12.75" customHeight="1">
      <c r="A29" s="59" t="s">
        <v>413</v>
      </c>
      <c r="B29" s="59"/>
      <c r="C29" s="60">
        <v>241000266</v>
      </c>
      <c r="D29" s="59"/>
      <c r="E29" s="59" t="s">
        <v>806</v>
      </c>
      <c r="F29" s="64" t="s">
        <v>633</v>
      </c>
      <c r="G29" s="59" t="s">
        <v>423</v>
      </c>
      <c r="H29" s="56"/>
      <c r="I29" s="63"/>
      <c r="J29" s="143"/>
    </row>
    <row r="30" spans="1:11" ht="12.75" customHeight="1">
      <c r="A30" s="59" t="s">
        <v>621</v>
      </c>
      <c r="B30" s="60"/>
      <c r="C30" s="68">
        <v>241000274</v>
      </c>
      <c r="D30" s="68"/>
      <c r="E30" s="81" t="s">
        <v>1057</v>
      </c>
      <c r="F30" s="115" t="s">
        <v>821</v>
      </c>
      <c r="G30" s="106" t="s">
        <v>620</v>
      </c>
      <c r="H30" s="56"/>
      <c r="I30" s="63"/>
      <c r="J30" s="56"/>
    </row>
    <row r="31" spans="1:11" ht="12.75" customHeight="1">
      <c r="A31" s="59" t="s">
        <v>621</v>
      </c>
      <c r="B31" s="59"/>
      <c r="C31" s="60">
        <v>241000274</v>
      </c>
      <c r="D31" s="59"/>
      <c r="E31" s="59" t="s">
        <v>820</v>
      </c>
      <c r="F31" s="64" t="s">
        <v>821</v>
      </c>
      <c r="G31" s="59" t="s">
        <v>620</v>
      </c>
      <c r="H31" s="56"/>
      <c r="I31" s="63"/>
      <c r="J31" s="143"/>
    </row>
    <row r="32" spans="1:11">
      <c r="A32" s="59" t="s">
        <v>413</v>
      </c>
      <c r="B32" s="59"/>
      <c r="C32" s="60">
        <v>230000493</v>
      </c>
      <c r="D32" s="59"/>
      <c r="E32" s="59" t="s">
        <v>1336</v>
      </c>
      <c r="F32" s="64" t="s">
        <v>72</v>
      </c>
      <c r="G32" s="59" t="s">
        <v>1337</v>
      </c>
      <c r="H32" s="56"/>
      <c r="I32" s="63"/>
      <c r="J32" s="56" t="s">
        <v>1338</v>
      </c>
    </row>
    <row r="33" spans="1:10" ht="12.75" customHeight="1">
      <c r="A33" s="59" t="s">
        <v>413</v>
      </c>
      <c r="B33" s="59"/>
      <c r="C33" s="60">
        <v>241000139</v>
      </c>
      <c r="D33" s="59"/>
      <c r="E33" s="59" t="s">
        <v>599</v>
      </c>
      <c r="F33" s="64" t="s">
        <v>72</v>
      </c>
      <c r="G33" s="59" t="s">
        <v>416</v>
      </c>
      <c r="H33" s="56"/>
      <c r="I33" s="63"/>
      <c r="J33" s="56" t="s">
        <v>600</v>
      </c>
    </row>
    <row r="34" spans="1:10">
      <c r="A34" s="68" t="s">
        <v>621</v>
      </c>
      <c r="B34" s="127">
        <v>90459379</v>
      </c>
      <c r="C34" s="68"/>
      <c r="D34" s="68"/>
      <c r="E34" s="59" t="s">
        <v>1333</v>
      </c>
      <c r="F34" s="80" t="s">
        <v>821</v>
      </c>
      <c r="G34" s="106" t="s">
        <v>620</v>
      </c>
      <c r="H34" s="56"/>
      <c r="I34" s="63"/>
      <c r="J34" s="56"/>
    </row>
    <row r="35" spans="1:10">
      <c r="A35" s="59" t="s">
        <v>621</v>
      </c>
      <c r="B35" s="59"/>
      <c r="C35" s="60">
        <v>241000170</v>
      </c>
      <c r="D35" s="59"/>
      <c r="E35" s="59" t="s">
        <v>650</v>
      </c>
      <c r="F35" s="64" t="s">
        <v>651</v>
      </c>
      <c r="G35" s="59" t="s">
        <v>620</v>
      </c>
      <c r="H35" s="56"/>
      <c r="I35" s="63"/>
      <c r="J35" s="56"/>
    </row>
    <row r="36" spans="1:10" ht="12.75" customHeight="1">
      <c r="A36" s="59" t="s">
        <v>413</v>
      </c>
      <c r="B36" s="59"/>
      <c r="C36" s="60">
        <v>241000272</v>
      </c>
      <c r="D36" s="59"/>
      <c r="E36" s="59" t="s">
        <v>817</v>
      </c>
      <c r="F36" s="64" t="s">
        <v>379</v>
      </c>
      <c r="G36" s="59" t="s">
        <v>416</v>
      </c>
      <c r="H36" s="56"/>
      <c r="I36" s="63"/>
      <c r="J36" s="143"/>
    </row>
    <row r="37" spans="1:10" ht="12.75" customHeight="1">
      <c r="A37" s="59" t="s">
        <v>413</v>
      </c>
      <c r="B37" s="59"/>
      <c r="C37" s="60">
        <v>241000178</v>
      </c>
      <c r="D37" s="59"/>
      <c r="E37" s="59" t="s">
        <v>661</v>
      </c>
      <c r="F37" s="64" t="s">
        <v>651</v>
      </c>
      <c r="G37" s="59" t="s">
        <v>620</v>
      </c>
      <c r="H37" s="56"/>
      <c r="I37" s="63"/>
      <c r="J37" s="56"/>
    </row>
    <row r="38" spans="1:10" ht="12.75" customHeight="1">
      <c r="A38" s="59" t="s">
        <v>413</v>
      </c>
      <c r="B38" s="59"/>
      <c r="C38" s="60">
        <v>241000275</v>
      </c>
      <c r="D38" s="59"/>
      <c r="E38" s="59" t="s">
        <v>822</v>
      </c>
      <c r="F38" s="64" t="s">
        <v>503</v>
      </c>
      <c r="G38" s="59" t="s">
        <v>416</v>
      </c>
      <c r="H38" s="56"/>
      <c r="I38" s="63"/>
      <c r="J38" s="143"/>
    </row>
    <row r="39" spans="1:10" ht="12.75" customHeight="1">
      <c r="A39" s="59" t="s">
        <v>413</v>
      </c>
      <c r="B39" s="59"/>
      <c r="C39" s="60">
        <v>241000278</v>
      </c>
      <c r="D39" s="59"/>
      <c r="E39" s="59" t="s">
        <v>826</v>
      </c>
      <c r="F39" s="64" t="s">
        <v>503</v>
      </c>
      <c r="G39" s="59" t="s">
        <v>416</v>
      </c>
      <c r="H39" s="56"/>
      <c r="I39" s="63"/>
      <c r="J39" s="143"/>
    </row>
    <row r="40" spans="1:10" ht="12.75" customHeight="1">
      <c r="A40" s="59" t="s">
        <v>621</v>
      </c>
      <c r="B40" s="59"/>
      <c r="C40" s="60">
        <v>241000152</v>
      </c>
      <c r="D40" s="59"/>
      <c r="E40" s="59" t="s">
        <v>622</v>
      </c>
      <c r="F40" s="64" t="s">
        <v>415</v>
      </c>
      <c r="G40" s="59" t="s">
        <v>620</v>
      </c>
      <c r="H40" s="56"/>
      <c r="I40" s="63"/>
      <c r="J40" s="56"/>
    </row>
    <row r="41" spans="1:10" ht="12.75" customHeight="1">
      <c r="A41" s="108" t="s">
        <v>621</v>
      </c>
      <c r="B41" s="73">
        <v>66600336</v>
      </c>
      <c r="C41" s="108"/>
      <c r="D41" s="68"/>
      <c r="E41" s="72" t="s">
        <v>1320</v>
      </c>
      <c r="F41" s="109" t="s">
        <v>415</v>
      </c>
      <c r="G41" s="110" t="s">
        <v>620</v>
      </c>
      <c r="H41" s="76"/>
      <c r="I41" s="75"/>
      <c r="J41" s="76" t="s">
        <v>1321</v>
      </c>
    </row>
    <row r="42" spans="1:10" ht="12.75" customHeight="1">
      <c r="A42" s="59" t="s">
        <v>413</v>
      </c>
      <c r="B42" s="60"/>
      <c r="C42" s="60">
        <v>241000009</v>
      </c>
      <c r="D42" s="59"/>
      <c r="E42" s="59" t="s">
        <v>417</v>
      </c>
      <c r="F42" s="64" t="s">
        <v>415</v>
      </c>
      <c r="G42" s="59" t="s">
        <v>416</v>
      </c>
      <c r="H42" s="56"/>
      <c r="I42" s="63"/>
      <c r="J42" s="66"/>
    </row>
    <row r="43" spans="1:10" ht="12.75" customHeight="1">
      <c r="A43" s="59" t="s">
        <v>413</v>
      </c>
      <c r="B43" s="59"/>
      <c r="C43" s="60">
        <v>241000268</v>
      </c>
      <c r="D43" s="59"/>
      <c r="E43" s="59" t="s">
        <v>810</v>
      </c>
      <c r="F43" s="64" t="s">
        <v>379</v>
      </c>
      <c r="G43" s="59" t="s">
        <v>416</v>
      </c>
      <c r="H43" s="56"/>
      <c r="I43" s="63"/>
      <c r="J43" s="143"/>
    </row>
    <row r="44" spans="1:10" ht="12.75" customHeight="1">
      <c r="A44" s="59" t="s">
        <v>413</v>
      </c>
      <c r="B44" s="60"/>
      <c r="C44" s="60">
        <v>241000008</v>
      </c>
      <c r="D44" s="59"/>
      <c r="E44" s="59" t="s">
        <v>414</v>
      </c>
      <c r="F44" s="64" t="s">
        <v>415</v>
      </c>
      <c r="G44" s="59" t="s">
        <v>416</v>
      </c>
      <c r="H44" s="56">
        <v>18</v>
      </c>
      <c r="I44" s="63"/>
      <c r="J44" s="66"/>
    </row>
    <row r="45" spans="1:10" ht="12.75" customHeight="1">
      <c r="A45" s="68" t="s">
        <v>621</v>
      </c>
      <c r="B45" s="60">
        <v>50110214</v>
      </c>
      <c r="C45" s="68"/>
      <c r="D45" s="68"/>
      <c r="E45" s="59" t="s">
        <v>1112</v>
      </c>
      <c r="F45" s="80" t="s">
        <v>1113</v>
      </c>
      <c r="G45" s="106" t="s">
        <v>620</v>
      </c>
      <c r="H45" s="56"/>
      <c r="I45" s="63"/>
      <c r="J45" s="56"/>
    </row>
    <row r="46" spans="1:10" ht="12.75" customHeight="1">
      <c r="A46" s="59" t="s">
        <v>413</v>
      </c>
      <c r="B46" s="59"/>
      <c r="C46" s="60">
        <v>241000148</v>
      </c>
      <c r="D46" s="59"/>
      <c r="E46" s="59" t="s">
        <v>615</v>
      </c>
      <c r="F46" s="64" t="s">
        <v>66</v>
      </c>
      <c r="G46" s="59" t="s">
        <v>416</v>
      </c>
      <c r="H46" s="56"/>
      <c r="I46" s="63"/>
      <c r="J46" s="56"/>
    </row>
    <row r="47" spans="1:10" ht="12.75" customHeight="1">
      <c r="A47" s="59" t="s">
        <v>621</v>
      </c>
      <c r="B47" s="59"/>
      <c r="C47" s="60">
        <v>241000255</v>
      </c>
      <c r="D47" s="59"/>
      <c r="E47" s="59" t="s">
        <v>789</v>
      </c>
      <c r="F47" s="64" t="s">
        <v>790</v>
      </c>
      <c r="G47" s="59" t="s">
        <v>791</v>
      </c>
      <c r="H47" s="56"/>
      <c r="I47" s="63"/>
      <c r="J47" s="143"/>
    </row>
    <row r="48" spans="1:10" ht="12.75" customHeight="1">
      <c r="A48" s="59" t="s">
        <v>413</v>
      </c>
      <c r="B48" s="59"/>
      <c r="C48" s="60">
        <v>241000331</v>
      </c>
      <c r="D48" s="59"/>
      <c r="E48" s="59" t="s">
        <v>906</v>
      </c>
      <c r="F48" s="64" t="s">
        <v>907</v>
      </c>
      <c r="G48" s="60"/>
      <c r="H48" s="56"/>
      <c r="I48" s="63"/>
      <c r="J48" s="146"/>
    </row>
    <row r="49" spans="1:10" ht="12.75" customHeight="1">
      <c r="A49" s="59" t="s">
        <v>413</v>
      </c>
      <c r="B49" s="59"/>
      <c r="C49" s="60">
        <v>241000256</v>
      </c>
      <c r="D49" s="59"/>
      <c r="E49" s="59" t="s">
        <v>792</v>
      </c>
      <c r="F49" s="64" t="s">
        <v>790</v>
      </c>
      <c r="G49" s="59" t="s">
        <v>416</v>
      </c>
      <c r="H49" s="56"/>
      <c r="I49" s="63"/>
      <c r="J49" s="143"/>
    </row>
    <row r="50" spans="1:10" ht="12.75" customHeight="1">
      <c r="A50" s="59" t="s">
        <v>413</v>
      </c>
      <c r="B50" s="59"/>
      <c r="C50" s="60">
        <v>241000330</v>
      </c>
      <c r="D50" s="59"/>
      <c r="E50" s="59" t="s">
        <v>905</v>
      </c>
      <c r="F50" s="64" t="s">
        <v>457</v>
      </c>
      <c r="G50" s="60"/>
      <c r="H50" s="56"/>
      <c r="I50" s="63"/>
      <c r="J50" s="146"/>
    </row>
    <row r="51" spans="1:10" ht="12.75" customHeight="1">
      <c r="A51" s="59" t="s">
        <v>621</v>
      </c>
      <c r="B51" s="59"/>
      <c r="C51" s="60">
        <v>241000160</v>
      </c>
      <c r="D51" s="59"/>
      <c r="E51" s="59" t="s">
        <v>632</v>
      </c>
      <c r="F51" s="64" t="s">
        <v>633</v>
      </c>
      <c r="G51" s="59" t="s">
        <v>620</v>
      </c>
      <c r="H51" s="56"/>
      <c r="I51" s="63"/>
      <c r="J51" s="56"/>
    </row>
    <row r="52" spans="1:10" ht="12.75" customHeight="1">
      <c r="A52" s="59" t="s">
        <v>413</v>
      </c>
      <c r="B52" s="59"/>
      <c r="C52" s="60">
        <v>241000349</v>
      </c>
      <c r="D52" s="59"/>
      <c r="E52" s="59" t="s">
        <v>938</v>
      </c>
      <c r="F52" s="64"/>
      <c r="G52" s="60"/>
      <c r="H52" s="56"/>
      <c r="I52" s="63"/>
      <c r="J52" s="146"/>
    </row>
    <row r="53" spans="1:10" ht="12.75" customHeight="1">
      <c r="A53" s="59" t="s">
        <v>413</v>
      </c>
      <c r="B53" s="59"/>
      <c r="C53" s="60">
        <v>241000161</v>
      </c>
      <c r="D53" s="59"/>
      <c r="E53" s="59" t="s">
        <v>634</v>
      </c>
      <c r="F53" s="64" t="s">
        <v>635</v>
      </c>
      <c r="G53" s="59" t="s">
        <v>416</v>
      </c>
      <c r="H53" s="56"/>
      <c r="I53" s="63"/>
      <c r="J53" s="56"/>
    </row>
    <row r="54" spans="1:10" ht="12.75" customHeight="1">
      <c r="A54" s="59" t="s">
        <v>413</v>
      </c>
      <c r="B54" s="59"/>
      <c r="C54" s="60">
        <v>241000265</v>
      </c>
      <c r="D54" s="59"/>
      <c r="E54" s="59" t="s">
        <v>805</v>
      </c>
      <c r="F54" s="64" t="s">
        <v>633</v>
      </c>
      <c r="G54" s="59" t="s">
        <v>423</v>
      </c>
      <c r="H54" s="56"/>
      <c r="I54" s="63"/>
      <c r="J54" s="143"/>
    </row>
    <row r="55" spans="1:10" ht="12.75" customHeight="1">
      <c r="A55" s="59" t="s">
        <v>413</v>
      </c>
      <c r="B55" s="59"/>
      <c r="C55" s="60">
        <v>241000305</v>
      </c>
      <c r="D55" s="59"/>
      <c r="E55" s="59" t="s">
        <v>861</v>
      </c>
      <c r="F55" s="64" t="s">
        <v>633</v>
      </c>
      <c r="G55" s="59" t="s">
        <v>416</v>
      </c>
      <c r="H55" s="56"/>
      <c r="I55" s="63"/>
      <c r="J55" s="143"/>
    </row>
    <row r="56" spans="1:10" ht="12.75" customHeight="1">
      <c r="A56" s="59" t="s">
        <v>413</v>
      </c>
      <c r="B56" s="59"/>
      <c r="C56" s="60">
        <v>241000147</v>
      </c>
      <c r="D56" s="59"/>
      <c r="E56" s="59" t="s">
        <v>613</v>
      </c>
      <c r="F56" s="64" t="s">
        <v>614</v>
      </c>
      <c r="G56" s="59" t="s">
        <v>416</v>
      </c>
      <c r="H56" s="56"/>
      <c r="I56" s="63"/>
      <c r="J56" s="56"/>
    </row>
    <row r="57" spans="1:10" ht="12.75" customHeight="1">
      <c r="A57" s="68" t="s">
        <v>621</v>
      </c>
      <c r="B57" s="60">
        <v>50110215</v>
      </c>
      <c r="C57" s="68"/>
      <c r="D57" s="68"/>
      <c r="E57" s="59" t="s">
        <v>1114</v>
      </c>
      <c r="F57" s="80" t="s">
        <v>1115</v>
      </c>
      <c r="G57" s="106" t="s">
        <v>620</v>
      </c>
      <c r="H57" s="56"/>
      <c r="I57" s="63"/>
      <c r="J57" s="56"/>
    </row>
    <row r="58" spans="1:10" ht="12.75" customHeight="1">
      <c r="A58" s="68" t="s">
        <v>621</v>
      </c>
      <c r="B58" s="60">
        <v>50110271</v>
      </c>
      <c r="C58" s="68"/>
      <c r="D58" s="68"/>
      <c r="E58" s="59" t="s">
        <v>1139</v>
      </c>
      <c r="F58" s="80" t="s">
        <v>1115</v>
      </c>
      <c r="G58" s="106" t="s">
        <v>620</v>
      </c>
      <c r="H58" s="56"/>
      <c r="I58" s="63"/>
      <c r="J58" s="56"/>
    </row>
    <row r="59" spans="1:10" ht="12.75" customHeight="1">
      <c r="A59" s="59" t="s">
        <v>413</v>
      </c>
      <c r="B59" s="59"/>
      <c r="C59" s="60">
        <v>241000134</v>
      </c>
      <c r="D59" s="59"/>
      <c r="E59" s="59" t="s">
        <v>594</v>
      </c>
      <c r="F59" s="64" t="s">
        <v>65</v>
      </c>
      <c r="G59" s="59" t="s">
        <v>416</v>
      </c>
      <c r="H59" s="56"/>
      <c r="I59" s="63"/>
      <c r="J59" s="56"/>
    </row>
    <row r="60" spans="1:10" ht="12.75" customHeight="1">
      <c r="A60" s="68" t="s">
        <v>621</v>
      </c>
      <c r="B60" s="60">
        <v>90459369</v>
      </c>
      <c r="C60" s="68"/>
      <c r="D60" s="68"/>
      <c r="E60" s="59" t="s">
        <v>1332</v>
      </c>
      <c r="F60" s="80" t="s">
        <v>855</v>
      </c>
      <c r="G60" s="106" t="s">
        <v>620</v>
      </c>
      <c r="H60" s="56"/>
      <c r="I60" s="63"/>
      <c r="J60" s="56"/>
    </row>
    <row r="61" spans="1:10" ht="12.75" customHeight="1">
      <c r="A61" s="59" t="s">
        <v>621</v>
      </c>
      <c r="B61" s="59"/>
      <c r="C61" s="60">
        <v>241000302</v>
      </c>
      <c r="D61" s="59"/>
      <c r="E61" s="81" t="s">
        <v>854</v>
      </c>
      <c r="F61" s="64" t="s">
        <v>855</v>
      </c>
      <c r="G61" s="59" t="s">
        <v>799</v>
      </c>
      <c r="H61" s="56"/>
      <c r="I61" s="63"/>
      <c r="J61" s="143"/>
    </row>
    <row r="62" spans="1:10" ht="12.75" customHeight="1">
      <c r="A62" s="59" t="s">
        <v>621</v>
      </c>
      <c r="B62" s="59"/>
      <c r="C62" s="60">
        <v>241000303</v>
      </c>
      <c r="D62" s="59"/>
      <c r="E62" s="81" t="s">
        <v>856</v>
      </c>
      <c r="F62" s="64" t="s">
        <v>855</v>
      </c>
      <c r="G62" s="59" t="s">
        <v>799</v>
      </c>
      <c r="H62" s="56"/>
      <c r="I62" s="63"/>
      <c r="J62" s="143"/>
    </row>
    <row r="63" spans="1:10" ht="12.75" customHeight="1">
      <c r="A63" s="68" t="s">
        <v>442</v>
      </c>
      <c r="B63" s="68">
        <v>51000107</v>
      </c>
      <c r="C63" s="68"/>
      <c r="D63" s="68" t="s">
        <v>1287</v>
      </c>
      <c r="E63" s="68" t="s">
        <v>1288</v>
      </c>
      <c r="F63" s="80" t="s">
        <v>1289</v>
      </c>
      <c r="G63" s="106" t="s">
        <v>1063</v>
      </c>
      <c r="H63" s="56"/>
      <c r="I63" s="63"/>
      <c r="J63" s="56"/>
    </row>
    <row r="64" spans="1:10" ht="12.75" customHeight="1">
      <c r="A64" s="68" t="s">
        <v>903</v>
      </c>
      <c r="B64" s="68">
        <v>53460144</v>
      </c>
      <c r="C64" s="68"/>
      <c r="D64" s="68" t="s">
        <v>1301</v>
      </c>
      <c r="E64" s="68" t="s">
        <v>1302</v>
      </c>
      <c r="F64" s="80" t="s">
        <v>1303</v>
      </c>
      <c r="G64" s="106" t="s">
        <v>1006</v>
      </c>
      <c r="H64" s="56"/>
      <c r="I64" s="63"/>
      <c r="J64" s="56"/>
    </row>
    <row r="65" spans="1:10" ht="12.75" customHeight="1">
      <c r="A65" s="68" t="s">
        <v>903</v>
      </c>
      <c r="B65" s="68">
        <v>53460141</v>
      </c>
      <c r="C65" s="68"/>
      <c r="D65" s="68" t="s">
        <v>1296</v>
      </c>
      <c r="E65" s="68" t="s">
        <v>1297</v>
      </c>
      <c r="F65" s="80" t="s">
        <v>887</v>
      </c>
      <c r="G65" s="106" t="s">
        <v>1006</v>
      </c>
      <c r="H65" s="56"/>
      <c r="I65" s="63"/>
      <c r="J65" s="56"/>
    </row>
    <row r="66" spans="1:10" ht="12.75" customHeight="1">
      <c r="A66" s="68" t="s">
        <v>418</v>
      </c>
      <c r="B66" s="60">
        <v>40000055</v>
      </c>
      <c r="C66" s="68"/>
      <c r="D66" s="68"/>
      <c r="E66" s="59" t="s">
        <v>997</v>
      </c>
      <c r="F66" s="80" t="s">
        <v>431</v>
      </c>
      <c r="G66" s="106" t="s">
        <v>620</v>
      </c>
      <c r="H66" s="56"/>
      <c r="I66" s="63"/>
      <c r="J66" s="66"/>
    </row>
    <row r="67" spans="1:10" ht="12.75" customHeight="1">
      <c r="A67" s="68" t="s">
        <v>480</v>
      </c>
      <c r="B67" s="68">
        <v>50113048</v>
      </c>
      <c r="C67" s="59"/>
      <c r="D67" s="68" t="s">
        <v>1183</v>
      </c>
      <c r="E67" s="68" t="s">
        <v>1250</v>
      </c>
      <c r="F67" s="80" t="s">
        <v>380</v>
      </c>
      <c r="G67" s="106" t="s">
        <v>428</v>
      </c>
      <c r="H67" s="56">
        <v>13</v>
      </c>
      <c r="I67" s="63"/>
      <c r="J67" s="56"/>
    </row>
    <row r="68" spans="1:10" ht="12.75" customHeight="1">
      <c r="A68" s="68" t="s">
        <v>480</v>
      </c>
      <c r="B68" s="68">
        <v>50111403</v>
      </c>
      <c r="C68" s="68"/>
      <c r="D68" s="68" t="s">
        <v>1195</v>
      </c>
      <c r="E68" s="68" t="s">
        <v>1224</v>
      </c>
      <c r="F68" s="80" t="s">
        <v>380</v>
      </c>
      <c r="G68" s="106" t="s">
        <v>428</v>
      </c>
      <c r="H68" s="56"/>
      <c r="I68" s="63"/>
      <c r="J68" s="56"/>
    </row>
    <row r="69" spans="1:10" ht="12.75" customHeight="1">
      <c r="A69" s="59" t="s">
        <v>435</v>
      </c>
      <c r="B69" s="60"/>
      <c r="C69" s="60">
        <v>241000063</v>
      </c>
      <c r="D69" s="59"/>
      <c r="E69" s="59" t="s">
        <v>512</v>
      </c>
      <c r="F69" s="64" t="s">
        <v>380</v>
      </c>
      <c r="G69" s="59" t="s">
        <v>437</v>
      </c>
      <c r="H69" s="56">
        <v>62</v>
      </c>
      <c r="I69" s="63"/>
      <c r="J69" s="56"/>
    </row>
    <row r="70" spans="1:10" ht="12.75" customHeight="1">
      <c r="A70" s="59" t="s">
        <v>418</v>
      </c>
      <c r="B70" s="59"/>
      <c r="C70" s="60">
        <v>241000125</v>
      </c>
      <c r="D70" s="59"/>
      <c r="E70" s="68" t="s">
        <v>585</v>
      </c>
      <c r="F70" s="64" t="s">
        <v>380</v>
      </c>
      <c r="G70" s="59" t="s">
        <v>428</v>
      </c>
      <c r="H70" s="56">
        <v>11</v>
      </c>
      <c r="I70" s="63"/>
      <c r="J70" s="56"/>
    </row>
    <row r="71" spans="1:10" ht="12.75" customHeight="1">
      <c r="A71" s="68" t="s">
        <v>480</v>
      </c>
      <c r="B71" s="68">
        <v>50113202</v>
      </c>
      <c r="C71" s="68"/>
      <c r="D71" s="56"/>
      <c r="E71" s="66" t="s">
        <v>1254</v>
      </c>
      <c r="F71" s="55" t="s">
        <v>380</v>
      </c>
      <c r="G71" s="68" t="s">
        <v>428</v>
      </c>
      <c r="H71" s="55">
        <v>42</v>
      </c>
      <c r="I71" s="139"/>
      <c r="J71" s="56" t="s">
        <v>1073</v>
      </c>
    </row>
    <row r="72" spans="1:10" ht="12.75" customHeight="1">
      <c r="A72" s="59" t="s">
        <v>480</v>
      </c>
      <c r="B72" s="59"/>
      <c r="C72" s="60">
        <v>241000209</v>
      </c>
      <c r="D72" s="59"/>
      <c r="E72" s="59" t="s">
        <v>723</v>
      </c>
      <c r="F72" s="64" t="s">
        <v>380</v>
      </c>
      <c r="G72" s="59" t="s">
        <v>724</v>
      </c>
      <c r="H72" s="56">
        <v>46</v>
      </c>
      <c r="I72" s="63"/>
      <c r="J72" s="66" t="s">
        <v>725</v>
      </c>
    </row>
    <row r="73" spans="1:10" ht="12.75" customHeight="1">
      <c r="A73" s="59" t="s">
        <v>480</v>
      </c>
      <c r="B73" s="60">
        <v>50113004</v>
      </c>
      <c r="C73" s="68"/>
      <c r="D73" s="121" t="s">
        <v>1248</v>
      </c>
      <c r="E73" s="59" t="s">
        <v>1249</v>
      </c>
      <c r="F73" s="64" t="s">
        <v>380</v>
      </c>
      <c r="G73" s="59" t="s">
        <v>428</v>
      </c>
      <c r="H73" s="56">
        <v>29</v>
      </c>
      <c r="I73" s="63">
        <v>45</v>
      </c>
      <c r="J73" s="56"/>
    </row>
    <row r="74" spans="1:10" ht="12.75" customHeight="1">
      <c r="A74" s="68" t="s">
        <v>603</v>
      </c>
      <c r="B74" s="128">
        <v>49360025</v>
      </c>
      <c r="C74" s="68"/>
      <c r="D74" s="68" t="s">
        <v>1013</v>
      </c>
      <c r="E74" s="68" t="s">
        <v>1014</v>
      </c>
      <c r="F74" s="80" t="s">
        <v>380</v>
      </c>
      <c r="G74" s="106" t="s">
        <v>1003</v>
      </c>
      <c r="H74" s="56"/>
      <c r="I74" s="63"/>
      <c r="J74" s="66"/>
    </row>
    <row r="75" spans="1:10" ht="12.75" customHeight="1">
      <c r="A75" s="59" t="s">
        <v>418</v>
      </c>
      <c r="B75" s="59"/>
      <c r="C75" s="60">
        <v>241000316</v>
      </c>
      <c r="D75" s="59"/>
      <c r="E75" s="59" t="s">
        <v>882</v>
      </c>
      <c r="F75" s="64" t="s">
        <v>379</v>
      </c>
      <c r="G75" s="59" t="s">
        <v>402</v>
      </c>
      <c r="H75" s="56"/>
      <c r="I75" s="63"/>
      <c r="J75" s="146"/>
    </row>
    <row r="76" spans="1:10" ht="12.75" customHeight="1">
      <c r="A76" s="68" t="s">
        <v>550</v>
      </c>
      <c r="B76" s="68">
        <v>50110082</v>
      </c>
      <c r="C76" s="68"/>
      <c r="D76" s="68" t="s">
        <v>1076</v>
      </c>
      <c r="E76" s="68" t="s">
        <v>1077</v>
      </c>
      <c r="F76" s="80" t="s">
        <v>380</v>
      </c>
      <c r="G76" s="106" t="s">
        <v>428</v>
      </c>
      <c r="H76" s="56">
        <v>41</v>
      </c>
      <c r="I76" s="63"/>
      <c r="J76" s="56"/>
    </row>
    <row r="77" spans="1:10" ht="12.75" customHeight="1">
      <c r="A77" s="68" t="s">
        <v>630</v>
      </c>
      <c r="B77" s="68">
        <v>50110108</v>
      </c>
      <c r="C77" s="68"/>
      <c r="D77" s="68" t="s">
        <v>1034</v>
      </c>
      <c r="E77" s="68" t="s">
        <v>1084</v>
      </c>
      <c r="F77" s="80" t="s">
        <v>380</v>
      </c>
      <c r="G77" s="106" t="s">
        <v>1000</v>
      </c>
      <c r="H77" s="56"/>
      <c r="I77" s="63"/>
      <c r="J77" s="56"/>
    </row>
    <row r="78" spans="1:10" ht="12.75" customHeight="1">
      <c r="A78" s="59" t="s">
        <v>418</v>
      </c>
      <c r="B78" s="59"/>
      <c r="C78" s="60">
        <v>241000123</v>
      </c>
      <c r="D78" s="59"/>
      <c r="E78" s="68" t="s">
        <v>582</v>
      </c>
      <c r="F78" s="64" t="s">
        <v>380</v>
      </c>
      <c r="G78" s="59" t="s">
        <v>428</v>
      </c>
      <c r="H78" s="56"/>
      <c r="I78" s="63"/>
      <c r="J78" s="56"/>
    </row>
    <row r="79" spans="1:10" ht="12.75" customHeight="1">
      <c r="A79" s="59" t="s">
        <v>480</v>
      </c>
      <c r="B79" s="60"/>
      <c r="C79" s="60">
        <v>241000087</v>
      </c>
      <c r="D79" s="59"/>
      <c r="E79" s="59" t="s">
        <v>541</v>
      </c>
      <c r="F79" s="64" t="s">
        <v>380</v>
      </c>
      <c r="G79" s="59" t="s">
        <v>428</v>
      </c>
      <c r="H79" s="56">
        <v>3</v>
      </c>
      <c r="I79" s="63"/>
      <c r="J79" s="56"/>
    </row>
    <row r="80" spans="1:10" ht="12.75" customHeight="1">
      <c r="A80" s="68" t="s">
        <v>418</v>
      </c>
      <c r="B80" s="68">
        <v>30304203</v>
      </c>
      <c r="C80" s="68"/>
      <c r="D80" s="68" t="s">
        <v>980</v>
      </c>
      <c r="E80" s="68" t="s">
        <v>983</v>
      </c>
      <c r="F80" s="80" t="s">
        <v>380</v>
      </c>
      <c r="G80" s="106" t="s">
        <v>437</v>
      </c>
      <c r="H80" s="56">
        <v>73</v>
      </c>
      <c r="I80" s="63"/>
      <c r="J80" s="66"/>
    </row>
    <row r="81" spans="1:10" ht="12.75" customHeight="1">
      <c r="A81" s="68" t="s">
        <v>418</v>
      </c>
      <c r="B81" s="68">
        <v>50113252</v>
      </c>
      <c r="C81" s="68"/>
      <c r="D81" s="68" t="s">
        <v>1121</v>
      </c>
      <c r="E81" s="68" t="s">
        <v>1257</v>
      </c>
      <c r="F81" s="80" t="s">
        <v>380</v>
      </c>
      <c r="G81" s="106" t="s">
        <v>426</v>
      </c>
      <c r="H81" s="56">
        <v>20</v>
      </c>
      <c r="I81" s="63"/>
      <c r="J81" s="66" t="s">
        <v>1258</v>
      </c>
    </row>
    <row r="82" spans="1:10" ht="12.75" customHeight="1">
      <c r="A82" s="68" t="s">
        <v>630</v>
      </c>
      <c r="B82" s="60">
        <v>50113268</v>
      </c>
      <c r="C82" s="68"/>
      <c r="D82" s="68"/>
      <c r="E82" s="60" t="s">
        <v>1262</v>
      </c>
      <c r="F82" s="80" t="s">
        <v>380</v>
      </c>
      <c r="G82" s="106" t="s">
        <v>620</v>
      </c>
      <c r="H82" s="56"/>
      <c r="I82" s="63"/>
      <c r="J82" s="56"/>
    </row>
    <row r="83" spans="1:10" s="77" customFormat="1" ht="12.75" customHeight="1">
      <c r="A83" s="68" t="s">
        <v>418</v>
      </c>
      <c r="B83" s="68">
        <v>50113256</v>
      </c>
      <c r="C83" s="68"/>
      <c r="D83" s="68" t="s">
        <v>994</v>
      </c>
      <c r="E83" s="68" t="s">
        <v>1259</v>
      </c>
      <c r="F83" s="80" t="s">
        <v>380</v>
      </c>
      <c r="G83" s="106" t="s">
        <v>426</v>
      </c>
      <c r="H83" s="56">
        <v>50</v>
      </c>
      <c r="I83" s="63"/>
      <c r="J83" s="66" t="s">
        <v>1258</v>
      </c>
    </row>
    <row r="84" spans="1:10" ht="12.75" customHeight="1">
      <c r="A84" s="68" t="s">
        <v>418</v>
      </c>
      <c r="B84" s="68">
        <v>50113264</v>
      </c>
      <c r="C84" s="68"/>
      <c r="D84" s="68" t="s">
        <v>1213</v>
      </c>
      <c r="E84" s="68" t="s">
        <v>1261</v>
      </c>
      <c r="F84" s="80" t="s">
        <v>380</v>
      </c>
      <c r="G84" s="106" t="s">
        <v>437</v>
      </c>
      <c r="H84" s="56">
        <v>146</v>
      </c>
      <c r="I84" s="63"/>
      <c r="J84" s="66"/>
    </row>
    <row r="85" spans="1:10" ht="12.75" customHeight="1">
      <c r="A85" s="68" t="s">
        <v>418</v>
      </c>
      <c r="B85" s="68">
        <v>50113260</v>
      </c>
      <c r="C85" s="68"/>
      <c r="D85" s="68" t="s">
        <v>1119</v>
      </c>
      <c r="E85" s="68" t="s">
        <v>1260</v>
      </c>
      <c r="F85" s="80" t="s">
        <v>380</v>
      </c>
      <c r="G85" s="106" t="s">
        <v>426</v>
      </c>
      <c r="H85" s="56">
        <v>45</v>
      </c>
      <c r="I85" s="63"/>
      <c r="J85" s="66" t="s">
        <v>1258</v>
      </c>
    </row>
    <row r="86" spans="1:10" ht="12.75" customHeight="1">
      <c r="A86" s="68" t="s">
        <v>418</v>
      </c>
      <c r="B86" s="68">
        <v>50110119</v>
      </c>
      <c r="C86" s="68"/>
      <c r="D86" s="68" t="s">
        <v>1043</v>
      </c>
      <c r="E86" s="68" t="s">
        <v>1090</v>
      </c>
      <c r="F86" s="80" t="s">
        <v>380</v>
      </c>
      <c r="G86" s="106" t="s">
        <v>437</v>
      </c>
      <c r="H86" s="56">
        <v>580</v>
      </c>
      <c r="I86" s="63"/>
      <c r="J86" s="56"/>
    </row>
    <row r="87" spans="1:10" ht="12.75" customHeight="1">
      <c r="A87" s="59" t="s">
        <v>480</v>
      </c>
      <c r="B87" s="59"/>
      <c r="C87" s="60">
        <v>241000121</v>
      </c>
      <c r="D87" s="59"/>
      <c r="E87" s="60" t="s">
        <v>580</v>
      </c>
      <c r="F87" s="64" t="s">
        <v>380</v>
      </c>
      <c r="G87" s="59" t="s">
        <v>428</v>
      </c>
      <c r="H87" s="56">
        <v>9</v>
      </c>
      <c r="I87" s="63">
        <v>8</v>
      </c>
      <c r="J87" s="56"/>
    </row>
    <row r="88" spans="1:10" ht="12.75" customHeight="1">
      <c r="A88" s="68" t="s">
        <v>480</v>
      </c>
      <c r="B88" s="68">
        <v>50113201</v>
      </c>
      <c r="C88" s="68"/>
      <c r="D88" s="68" t="s">
        <v>1251</v>
      </c>
      <c r="E88" s="68" t="s">
        <v>1252</v>
      </c>
      <c r="F88" s="80" t="s">
        <v>380</v>
      </c>
      <c r="G88" s="106" t="s">
        <v>428</v>
      </c>
      <c r="H88" s="56">
        <v>11</v>
      </c>
      <c r="I88" s="63">
        <v>35</v>
      </c>
      <c r="J88" s="56" t="s">
        <v>1253</v>
      </c>
    </row>
    <row r="89" spans="1:10" ht="12.75" customHeight="1">
      <c r="A89" s="59" t="s">
        <v>480</v>
      </c>
      <c r="B89" s="59"/>
      <c r="C89" s="60">
        <v>241000118</v>
      </c>
      <c r="D89" s="59"/>
      <c r="E89" s="68" t="s">
        <v>576</v>
      </c>
      <c r="F89" s="64" t="s">
        <v>380</v>
      </c>
      <c r="G89" s="59" t="s">
        <v>428</v>
      </c>
      <c r="H89" s="56">
        <v>2</v>
      </c>
      <c r="I89" s="63">
        <v>22</v>
      </c>
      <c r="J89" s="56"/>
    </row>
    <row r="90" spans="1:10" ht="12.75" customHeight="1">
      <c r="A90" s="59" t="s">
        <v>480</v>
      </c>
      <c r="B90" s="60"/>
      <c r="C90" s="60">
        <v>241000090</v>
      </c>
      <c r="D90" s="59"/>
      <c r="E90" s="59" t="s">
        <v>544</v>
      </c>
      <c r="F90" s="64" t="s">
        <v>380</v>
      </c>
      <c r="G90" s="59" t="s">
        <v>428</v>
      </c>
      <c r="H90" s="56">
        <v>4</v>
      </c>
      <c r="I90" s="63"/>
      <c r="J90" s="56"/>
    </row>
    <row r="91" spans="1:10" ht="12.75" customHeight="1">
      <c r="A91" s="59" t="s">
        <v>480</v>
      </c>
      <c r="B91" s="59"/>
      <c r="C91" s="60">
        <v>241000119</v>
      </c>
      <c r="D91" s="59"/>
      <c r="E91" s="60" t="s">
        <v>577</v>
      </c>
      <c r="F91" s="64" t="s">
        <v>380</v>
      </c>
      <c r="G91" s="59" t="s">
        <v>428</v>
      </c>
      <c r="H91" s="56">
        <v>1</v>
      </c>
      <c r="I91" s="63">
        <v>7</v>
      </c>
      <c r="J91" s="56"/>
    </row>
    <row r="92" spans="1:10" ht="12.75" customHeight="1">
      <c r="A92" s="59" t="s">
        <v>480</v>
      </c>
      <c r="B92" s="59"/>
      <c r="C92" s="60">
        <v>241000120</v>
      </c>
      <c r="D92" s="59"/>
      <c r="E92" s="60" t="s">
        <v>578</v>
      </c>
      <c r="F92" s="64" t="s">
        <v>380</v>
      </c>
      <c r="G92" s="59" t="s">
        <v>428</v>
      </c>
      <c r="H92" s="56">
        <v>3</v>
      </c>
      <c r="I92" s="63">
        <v>13</v>
      </c>
      <c r="J92" s="56" t="s">
        <v>579</v>
      </c>
    </row>
    <row r="93" spans="1:10" ht="12.75" customHeight="1">
      <c r="A93" s="59" t="s">
        <v>480</v>
      </c>
      <c r="B93" s="59"/>
      <c r="C93" s="60">
        <v>241000185</v>
      </c>
      <c r="D93" s="59"/>
      <c r="E93" s="81" t="s">
        <v>674</v>
      </c>
      <c r="F93" s="64" t="s">
        <v>380</v>
      </c>
      <c r="G93" s="59" t="s">
        <v>428</v>
      </c>
      <c r="H93" s="56">
        <v>3</v>
      </c>
      <c r="I93" s="63">
        <v>11</v>
      </c>
      <c r="J93" s="56"/>
    </row>
    <row r="94" spans="1:10" ht="12.75" customHeight="1">
      <c r="A94" s="59" t="s">
        <v>480</v>
      </c>
      <c r="B94" s="59"/>
      <c r="C94" s="60">
        <v>241000122</v>
      </c>
      <c r="D94" s="59"/>
      <c r="E94" s="60" t="s">
        <v>581</v>
      </c>
      <c r="F94" s="64" t="s">
        <v>380</v>
      </c>
      <c r="G94" s="59" t="s">
        <v>428</v>
      </c>
      <c r="H94" s="56"/>
      <c r="I94" s="63">
        <v>9</v>
      </c>
      <c r="J94" s="56"/>
    </row>
    <row r="95" spans="1:10" ht="12.75" customHeight="1">
      <c r="A95" s="108" t="s">
        <v>480</v>
      </c>
      <c r="B95" s="108">
        <v>50111406</v>
      </c>
      <c r="C95" s="108"/>
      <c r="D95" s="68" t="s">
        <v>1228</v>
      </c>
      <c r="E95" s="108" t="s">
        <v>1229</v>
      </c>
      <c r="F95" s="64" t="s">
        <v>380</v>
      </c>
      <c r="G95" s="59" t="s">
        <v>428</v>
      </c>
      <c r="H95" s="56"/>
      <c r="I95" s="63"/>
      <c r="J95" s="56"/>
    </row>
    <row r="96" spans="1:10" ht="12.75" customHeight="1">
      <c r="A96" s="60" t="s">
        <v>480</v>
      </c>
      <c r="B96" s="59"/>
      <c r="C96" s="60">
        <v>241000199</v>
      </c>
      <c r="D96" s="59"/>
      <c r="E96" s="59" t="s">
        <v>703</v>
      </c>
      <c r="F96" s="64" t="s">
        <v>380</v>
      </c>
      <c r="G96" s="60" t="s">
        <v>478</v>
      </c>
      <c r="H96" s="56"/>
      <c r="I96" s="63"/>
      <c r="J96" s="56"/>
    </row>
    <row r="97" spans="1:10" ht="12.75" customHeight="1">
      <c r="A97" s="108" t="s">
        <v>418</v>
      </c>
      <c r="B97" s="73">
        <v>50110023</v>
      </c>
      <c r="C97" s="108"/>
      <c r="D97" s="108"/>
      <c r="E97" s="73" t="s">
        <v>1042</v>
      </c>
      <c r="F97" s="109" t="s">
        <v>380</v>
      </c>
      <c r="G97" s="110" t="s">
        <v>426</v>
      </c>
      <c r="H97" s="76">
        <v>41</v>
      </c>
      <c r="I97" s="75"/>
      <c r="J97" s="76" t="s">
        <v>979</v>
      </c>
    </row>
    <row r="98" spans="1:10" ht="12.75" customHeight="1">
      <c r="A98" s="68" t="s">
        <v>418</v>
      </c>
      <c r="B98" s="68">
        <v>50110859</v>
      </c>
      <c r="C98" s="68"/>
      <c r="D98" s="68" t="s">
        <v>1181</v>
      </c>
      <c r="E98" s="68" t="s">
        <v>1042</v>
      </c>
      <c r="F98" s="80" t="s">
        <v>380</v>
      </c>
      <c r="G98" s="106" t="s">
        <v>426</v>
      </c>
      <c r="H98" s="56"/>
      <c r="I98" s="63"/>
      <c r="J98" s="56" t="s">
        <v>1046</v>
      </c>
    </row>
    <row r="99" spans="1:10">
      <c r="A99" s="59" t="s">
        <v>418</v>
      </c>
      <c r="B99" s="60"/>
      <c r="C99" s="60">
        <v>241000108</v>
      </c>
      <c r="D99" s="59"/>
      <c r="E99" s="68" t="s">
        <v>565</v>
      </c>
      <c r="F99" s="64" t="s">
        <v>380</v>
      </c>
      <c r="G99" s="59" t="s">
        <v>426</v>
      </c>
      <c r="H99" s="56"/>
      <c r="I99" s="63"/>
      <c r="J99" s="56"/>
    </row>
    <row r="100" spans="1:10" ht="27">
      <c r="A100" s="68" t="s">
        <v>1037</v>
      </c>
      <c r="B100" s="68">
        <v>50110151</v>
      </c>
      <c r="C100" s="68"/>
      <c r="D100" s="68" t="s">
        <v>1097</v>
      </c>
      <c r="E100" s="68" t="s">
        <v>1098</v>
      </c>
      <c r="F100" s="80" t="s">
        <v>380</v>
      </c>
      <c r="G100" s="106" t="s">
        <v>428</v>
      </c>
      <c r="H100" s="56">
        <v>80</v>
      </c>
      <c r="I100" s="63"/>
      <c r="J100" s="56"/>
    </row>
    <row r="101" spans="1:10">
      <c r="A101" s="59" t="s">
        <v>418</v>
      </c>
      <c r="B101" s="60"/>
      <c r="C101" s="60">
        <v>241000012</v>
      </c>
      <c r="D101" s="59"/>
      <c r="E101" s="59" t="s">
        <v>424</v>
      </c>
      <c r="F101" s="64" t="s">
        <v>380</v>
      </c>
      <c r="G101" s="59" t="s">
        <v>423</v>
      </c>
      <c r="H101" s="56">
        <v>40</v>
      </c>
      <c r="I101" s="63"/>
      <c r="J101" s="66"/>
    </row>
    <row r="102" spans="1:10">
      <c r="A102" s="59" t="s">
        <v>418</v>
      </c>
      <c r="B102" s="60"/>
      <c r="C102" s="60">
        <v>241000091</v>
      </c>
      <c r="D102" s="59"/>
      <c r="E102" s="59" t="s">
        <v>545</v>
      </c>
      <c r="F102" s="64" t="s">
        <v>380</v>
      </c>
      <c r="G102" s="59" t="s">
        <v>426</v>
      </c>
      <c r="H102" s="56">
        <v>81</v>
      </c>
      <c r="I102" s="63"/>
      <c r="J102" s="56"/>
    </row>
    <row r="103" spans="1:10">
      <c r="A103" s="59" t="s">
        <v>418</v>
      </c>
      <c r="B103" s="59"/>
      <c r="C103" s="60">
        <v>241000124</v>
      </c>
      <c r="D103" s="59"/>
      <c r="E103" s="68" t="s">
        <v>583</v>
      </c>
      <c r="F103" s="64" t="s">
        <v>380</v>
      </c>
      <c r="G103" s="59" t="s">
        <v>584</v>
      </c>
      <c r="H103" s="56"/>
      <c r="I103" s="63"/>
      <c r="J103" s="56"/>
    </row>
    <row r="104" spans="1:10" ht="15">
      <c r="A104" s="59" t="s">
        <v>418</v>
      </c>
      <c r="B104" s="59"/>
      <c r="C104" s="60">
        <v>241000284</v>
      </c>
      <c r="D104" s="59"/>
      <c r="E104" s="59" t="s">
        <v>832</v>
      </c>
      <c r="F104" s="64" t="s">
        <v>380</v>
      </c>
      <c r="G104" s="59" t="s">
        <v>825</v>
      </c>
      <c r="H104" s="56"/>
      <c r="I104" s="63"/>
      <c r="J104" s="143"/>
    </row>
    <row r="105" spans="1:10" ht="12.75" customHeight="1">
      <c r="A105" s="68" t="s">
        <v>418</v>
      </c>
      <c r="B105" s="68">
        <v>50110073</v>
      </c>
      <c r="C105" s="68"/>
      <c r="D105" s="66"/>
      <c r="E105" s="66" t="s">
        <v>1072</v>
      </c>
      <c r="F105" s="55" t="s">
        <v>380</v>
      </c>
      <c r="G105" s="68" t="s">
        <v>428</v>
      </c>
      <c r="H105" s="55">
        <v>18</v>
      </c>
      <c r="I105" s="139"/>
      <c r="J105" s="56" t="s">
        <v>1073</v>
      </c>
    </row>
    <row r="106" spans="1:10" ht="12.75" customHeight="1">
      <c r="A106" s="68" t="s">
        <v>399</v>
      </c>
      <c r="B106" s="68">
        <v>50110123</v>
      </c>
      <c r="C106" s="68"/>
      <c r="D106" s="68" t="s">
        <v>1091</v>
      </c>
      <c r="E106" s="68" t="s">
        <v>1092</v>
      </c>
      <c r="F106" s="64" t="s">
        <v>380</v>
      </c>
      <c r="G106" s="59" t="s">
        <v>482</v>
      </c>
      <c r="H106" s="56">
        <v>18</v>
      </c>
      <c r="I106" s="63"/>
      <c r="J106" s="56"/>
    </row>
    <row r="107" spans="1:10">
      <c r="A107" s="59" t="s">
        <v>418</v>
      </c>
      <c r="B107" s="60"/>
      <c r="C107" s="60">
        <v>241000059</v>
      </c>
      <c r="D107" s="59"/>
      <c r="E107" s="59" t="s">
        <v>507</v>
      </c>
      <c r="F107" s="64" t="s">
        <v>380</v>
      </c>
      <c r="G107" s="59" t="s">
        <v>416</v>
      </c>
      <c r="H107" s="56"/>
      <c r="I107" s="63"/>
      <c r="J107" s="56"/>
    </row>
    <row r="108" spans="1:10" ht="12.75" customHeight="1">
      <c r="A108" s="59" t="s">
        <v>413</v>
      </c>
      <c r="B108" s="59"/>
      <c r="C108" s="60">
        <v>241000149</v>
      </c>
      <c r="D108" s="59"/>
      <c r="E108" s="59" t="s">
        <v>616</v>
      </c>
      <c r="F108" s="64" t="s">
        <v>617</v>
      </c>
      <c r="G108" s="59" t="s">
        <v>416</v>
      </c>
      <c r="H108" s="56"/>
      <c r="I108" s="63"/>
      <c r="J108" s="56"/>
    </row>
    <row r="109" spans="1:10">
      <c r="A109" s="59" t="s">
        <v>550</v>
      </c>
      <c r="B109" s="60"/>
      <c r="C109" s="60">
        <v>241000107</v>
      </c>
      <c r="D109" s="59"/>
      <c r="E109" s="68" t="s">
        <v>564</v>
      </c>
      <c r="F109" s="64" t="s">
        <v>380</v>
      </c>
      <c r="G109" s="59" t="s">
        <v>428</v>
      </c>
      <c r="H109" s="56">
        <v>0</v>
      </c>
      <c r="I109" s="63"/>
      <c r="J109" s="56"/>
    </row>
    <row r="110" spans="1:10">
      <c r="A110" s="68" t="s">
        <v>550</v>
      </c>
      <c r="B110" s="60">
        <v>50110320</v>
      </c>
      <c r="C110" s="68"/>
      <c r="D110" s="68"/>
      <c r="E110" s="68" t="s">
        <v>1156</v>
      </c>
      <c r="F110" s="80" t="s">
        <v>1157</v>
      </c>
      <c r="G110" s="106" t="s">
        <v>428</v>
      </c>
      <c r="H110" s="56"/>
      <c r="I110" s="63"/>
      <c r="J110" s="56"/>
    </row>
    <row r="111" spans="1:10" ht="12.75" customHeight="1">
      <c r="A111" s="68" t="s">
        <v>399</v>
      </c>
      <c r="B111" s="68">
        <v>50110125</v>
      </c>
      <c r="C111" s="68"/>
      <c r="D111" s="68" t="s">
        <v>1093</v>
      </c>
      <c r="E111" s="68" t="s">
        <v>1094</v>
      </c>
      <c r="F111" s="80" t="s">
        <v>380</v>
      </c>
      <c r="G111" s="106" t="s">
        <v>1003</v>
      </c>
      <c r="H111" s="56">
        <v>77</v>
      </c>
      <c r="I111" s="63"/>
      <c r="J111" s="56"/>
    </row>
    <row r="112" spans="1:10" ht="12.75" customHeight="1">
      <c r="A112" s="68" t="s">
        <v>1069</v>
      </c>
      <c r="B112" s="60">
        <v>50110072</v>
      </c>
      <c r="C112" s="68"/>
      <c r="D112" s="68"/>
      <c r="E112" s="68" t="s">
        <v>1070</v>
      </c>
      <c r="F112" s="80" t="s">
        <v>1071</v>
      </c>
      <c r="G112" s="106" t="s">
        <v>584</v>
      </c>
      <c r="H112" s="56"/>
      <c r="I112" s="64"/>
      <c r="J112" s="56"/>
    </row>
    <row r="113" spans="1:10" ht="12.75" customHeight="1">
      <c r="A113" s="68" t="s">
        <v>550</v>
      </c>
      <c r="B113" s="68">
        <v>50110321</v>
      </c>
      <c r="C113" s="68"/>
      <c r="D113" s="68" t="s">
        <v>1158</v>
      </c>
      <c r="E113" s="68" t="s">
        <v>1159</v>
      </c>
      <c r="F113" s="64" t="s">
        <v>380</v>
      </c>
      <c r="G113" s="59" t="s">
        <v>428</v>
      </c>
      <c r="H113" s="56">
        <v>0</v>
      </c>
      <c r="I113" s="64"/>
      <c r="J113" s="56"/>
    </row>
    <row r="114" spans="1:10" ht="12.75" customHeight="1">
      <c r="A114" s="68" t="s">
        <v>550</v>
      </c>
      <c r="B114" s="60">
        <v>50110322</v>
      </c>
      <c r="C114" s="68"/>
      <c r="D114" s="68"/>
      <c r="E114" s="68" t="s">
        <v>1160</v>
      </c>
      <c r="F114" s="80" t="s">
        <v>1161</v>
      </c>
      <c r="G114" s="106" t="s">
        <v>1056</v>
      </c>
      <c r="H114" s="56"/>
      <c r="I114" s="64"/>
      <c r="J114" s="56"/>
    </row>
    <row r="115" spans="1:10" ht="12.75" customHeight="1">
      <c r="A115" s="68" t="s">
        <v>550</v>
      </c>
      <c r="B115" s="60">
        <v>50110323</v>
      </c>
      <c r="C115" s="68"/>
      <c r="D115" s="68"/>
      <c r="E115" s="68" t="s">
        <v>1162</v>
      </c>
      <c r="F115" s="80" t="s">
        <v>1163</v>
      </c>
      <c r="G115" s="106" t="s">
        <v>1056</v>
      </c>
      <c r="H115" s="56"/>
      <c r="I115" s="63"/>
      <c r="J115" s="56"/>
    </row>
    <row r="116" spans="1:10" ht="12.75" customHeight="1">
      <c r="A116" s="68" t="s">
        <v>418</v>
      </c>
      <c r="B116" s="68">
        <v>50111048</v>
      </c>
      <c r="C116" s="68"/>
      <c r="D116" s="68" t="s">
        <v>1191</v>
      </c>
      <c r="E116" s="68" t="s">
        <v>1192</v>
      </c>
      <c r="F116" s="80" t="s">
        <v>379</v>
      </c>
      <c r="G116" s="106" t="s">
        <v>584</v>
      </c>
      <c r="H116" s="56">
        <v>35</v>
      </c>
      <c r="I116" s="63"/>
      <c r="J116" s="56"/>
    </row>
    <row r="117" spans="1:10" ht="12.75" customHeight="1">
      <c r="A117" s="59" t="s">
        <v>435</v>
      </c>
      <c r="B117" s="60"/>
      <c r="C117" s="60">
        <v>241000017</v>
      </c>
      <c r="D117" s="59"/>
      <c r="E117" s="59" t="s">
        <v>436</v>
      </c>
      <c r="F117" s="64" t="s">
        <v>379</v>
      </c>
      <c r="G117" s="59" t="s">
        <v>437</v>
      </c>
      <c r="H117" s="56">
        <v>170</v>
      </c>
      <c r="I117" s="63"/>
      <c r="J117" s="66"/>
    </row>
    <row r="118" spans="1:10" ht="12.75" customHeight="1">
      <c r="A118" s="68" t="s">
        <v>603</v>
      </c>
      <c r="B118" s="68">
        <v>50110855</v>
      </c>
      <c r="C118" s="68"/>
      <c r="D118" s="68" t="s">
        <v>1179</v>
      </c>
      <c r="E118" s="68" t="s">
        <v>1180</v>
      </c>
      <c r="F118" s="64" t="s">
        <v>379</v>
      </c>
      <c r="G118" s="59" t="s">
        <v>416</v>
      </c>
      <c r="H118" s="56">
        <v>56</v>
      </c>
      <c r="I118" s="63"/>
      <c r="J118" s="56"/>
    </row>
    <row r="119" spans="1:10" ht="12.75" customHeight="1">
      <c r="A119" s="68" t="s">
        <v>603</v>
      </c>
      <c r="B119" s="68">
        <v>49360027</v>
      </c>
      <c r="C119" s="68"/>
      <c r="D119" s="68" t="s">
        <v>1017</v>
      </c>
      <c r="E119" s="68" t="s">
        <v>1018</v>
      </c>
      <c r="F119" s="80" t="s">
        <v>379</v>
      </c>
      <c r="G119" s="106" t="s">
        <v>416</v>
      </c>
      <c r="H119" s="56"/>
      <c r="I119" s="63"/>
      <c r="J119" s="66"/>
    </row>
    <row r="120" spans="1:10" ht="12.75" customHeight="1">
      <c r="A120" s="68" t="s">
        <v>603</v>
      </c>
      <c r="B120" s="68">
        <v>49360026</v>
      </c>
      <c r="C120" s="68"/>
      <c r="D120" s="68" t="s">
        <v>1015</v>
      </c>
      <c r="E120" s="68" t="s">
        <v>1016</v>
      </c>
      <c r="F120" s="80" t="s">
        <v>379</v>
      </c>
      <c r="G120" s="106" t="s">
        <v>416</v>
      </c>
      <c r="H120" s="56"/>
      <c r="I120" s="63"/>
      <c r="J120" s="66"/>
    </row>
    <row r="121" spans="1:10" ht="12.75" customHeight="1">
      <c r="A121" s="68" t="s">
        <v>418</v>
      </c>
      <c r="B121" s="68">
        <v>50110011</v>
      </c>
      <c r="C121" s="68"/>
      <c r="D121" s="68" t="s">
        <v>1032</v>
      </c>
      <c r="E121" s="68" t="s">
        <v>1033</v>
      </c>
      <c r="F121" s="80" t="s">
        <v>379</v>
      </c>
      <c r="G121" s="106" t="s">
        <v>420</v>
      </c>
      <c r="H121" s="56">
        <v>9</v>
      </c>
      <c r="I121" s="64"/>
      <c r="J121" s="56" t="s">
        <v>393</v>
      </c>
    </row>
    <row r="122" spans="1:10" ht="12.75" customHeight="1">
      <c r="A122" s="68" t="s">
        <v>418</v>
      </c>
      <c r="B122" s="68">
        <v>50110005</v>
      </c>
      <c r="C122" s="68"/>
      <c r="D122" s="68" t="s">
        <v>1028</v>
      </c>
      <c r="E122" s="68" t="s">
        <v>1029</v>
      </c>
      <c r="F122" s="80" t="s">
        <v>379</v>
      </c>
      <c r="G122" s="106" t="s">
        <v>584</v>
      </c>
      <c r="H122" s="56">
        <v>73</v>
      </c>
      <c r="I122" s="64"/>
      <c r="J122" s="66"/>
    </row>
    <row r="123" spans="1:10" ht="12.75" customHeight="1">
      <c r="A123" s="68" t="s">
        <v>418</v>
      </c>
      <c r="B123" s="60">
        <v>50110005</v>
      </c>
      <c r="C123" s="68"/>
      <c r="D123" s="68"/>
      <c r="E123" s="68" t="s">
        <v>1031</v>
      </c>
      <c r="F123" s="80" t="s">
        <v>379</v>
      </c>
      <c r="G123" s="106" t="s">
        <v>584</v>
      </c>
      <c r="H123" s="56">
        <v>73</v>
      </c>
      <c r="I123" s="64"/>
      <c r="J123" s="56"/>
    </row>
    <row r="124" spans="1:10" ht="12.75" customHeight="1">
      <c r="A124" s="68" t="s">
        <v>690</v>
      </c>
      <c r="B124" s="68">
        <v>49358982</v>
      </c>
      <c r="C124" s="68"/>
      <c r="D124" s="68" t="s">
        <v>1007</v>
      </c>
      <c r="E124" s="68" t="s">
        <v>1008</v>
      </c>
      <c r="F124" s="80" t="s">
        <v>850</v>
      </c>
      <c r="G124" s="106" t="s">
        <v>1006</v>
      </c>
      <c r="H124" s="56">
        <v>21</v>
      </c>
      <c r="I124" s="64"/>
      <c r="J124" s="66"/>
    </row>
    <row r="125" spans="1:10" ht="12.75" customHeight="1">
      <c r="A125" s="68" t="s">
        <v>418</v>
      </c>
      <c r="B125" s="60">
        <v>50110077</v>
      </c>
      <c r="C125" s="68"/>
      <c r="D125" s="68"/>
      <c r="E125" s="68" t="s">
        <v>1074</v>
      </c>
      <c r="F125" s="80" t="s">
        <v>379</v>
      </c>
      <c r="G125" s="106" t="s">
        <v>1056</v>
      </c>
      <c r="H125" s="56"/>
      <c r="I125" s="63"/>
      <c r="J125" s="56"/>
    </row>
    <row r="126" spans="1:10" ht="12.75" customHeight="1">
      <c r="A126" s="68" t="s">
        <v>480</v>
      </c>
      <c r="B126" s="68">
        <v>35000032</v>
      </c>
      <c r="C126" s="68"/>
      <c r="D126" s="68" t="s">
        <v>984</v>
      </c>
      <c r="E126" s="68" t="s">
        <v>985</v>
      </c>
      <c r="F126" s="80" t="s">
        <v>379</v>
      </c>
      <c r="G126" s="106" t="s">
        <v>486</v>
      </c>
      <c r="H126" s="56">
        <v>42</v>
      </c>
      <c r="I126" s="63"/>
      <c r="J126" s="66"/>
    </row>
    <row r="127" spans="1:10" ht="12.75" customHeight="1">
      <c r="A127" s="59" t="s">
        <v>413</v>
      </c>
      <c r="B127" s="60">
        <v>50140042</v>
      </c>
      <c r="C127" s="68"/>
      <c r="D127" s="68"/>
      <c r="E127" s="68" t="s">
        <v>1272</v>
      </c>
      <c r="F127" s="80" t="s">
        <v>379</v>
      </c>
      <c r="G127" s="106" t="s">
        <v>1273</v>
      </c>
      <c r="H127" s="56"/>
      <c r="I127" s="63"/>
      <c r="J127" s="56"/>
    </row>
    <row r="128" spans="1:10" ht="12.75" customHeight="1">
      <c r="A128" s="59" t="s">
        <v>480</v>
      </c>
      <c r="B128" s="59"/>
      <c r="C128" s="60">
        <v>241000234</v>
      </c>
      <c r="D128" s="59"/>
      <c r="E128" s="59" t="s">
        <v>759</v>
      </c>
      <c r="F128" s="64" t="s">
        <v>379</v>
      </c>
      <c r="G128" s="59" t="s">
        <v>486</v>
      </c>
      <c r="H128" s="56"/>
      <c r="I128" s="63"/>
      <c r="J128" s="143"/>
    </row>
    <row r="129" spans="1:10" ht="12.75" customHeight="1">
      <c r="A129" s="59" t="s">
        <v>480</v>
      </c>
      <c r="B129" s="59"/>
      <c r="C129" s="60">
        <v>241000233</v>
      </c>
      <c r="D129" s="59"/>
      <c r="E129" s="59" t="s">
        <v>758</v>
      </c>
      <c r="F129" s="64" t="s">
        <v>379</v>
      </c>
      <c r="G129" s="59" t="s">
        <v>486</v>
      </c>
      <c r="H129" s="56"/>
      <c r="I129" s="63"/>
      <c r="J129" s="143"/>
    </row>
    <row r="130" spans="1:10" ht="12.75" customHeight="1">
      <c r="A130" s="59" t="s">
        <v>418</v>
      </c>
      <c r="B130" s="60"/>
      <c r="C130" s="60">
        <v>241000050</v>
      </c>
      <c r="D130" s="59"/>
      <c r="E130" s="59" t="s">
        <v>494</v>
      </c>
      <c r="F130" s="64" t="s">
        <v>379</v>
      </c>
      <c r="G130" s="59" t="s">
        <v>416</v>
      </c>
      <c r="H130" s="56">
        <v>68</v>
      </c>
      <c r="I130" s="63"/>
      <c r="J130" s="56"/>
    </row>
    <row r="131" spans="1:10" ht="12.75" customHeight="1">
      <c r="A131" s="68" t="s">
        <v>603</v>
      </c>
      <c r="B131" s="68">
        <v>49360021</v>
      </c>
      <c r="C131" s="68"/>
      <c r="D131" s="68" t="s">
        <v>1009</v>
      </c>
      <c r="E131" s="68" t="s">
        <v>1010</v>
      </c>
      <c r="F131" s="80" t="s">
        <v>379</v>
      </c>
      <c r="G131" s="106" t="s">
        <v>1003</v>
      </c>
      <c r="H131" s="56">
        <v>40</v>
      </c>
      <c r="I131" s="63"/>
      <c r="J131" s="66"/>
    </row>
    <row r="132" spans="1:10" ht="12.75" customHeight="1">
      <c r="A132" s="68" t="s">
        <v>418</v>
      </c>
      <c r="B132" s="60">
        <v>50111248</v>
      </c>
      <c r="C132" s="68"/>
      <c r="D132" s="68" t="s">
        <v>1206</v>
      </c>
      <c r="E132" s="68" t="s">
        <v>1207</v>
      </c>
      <c r="F132" s="80" t="s">
        <v>379</v>
      </c>
      <c r="G132" s="106" t="s">
        <v>584</v>
      </c>
      <c r="H132" s="56">
        <v>25</v>
      </c>
      <c r="I132" s="63"/>
      <c r="J132" s="56" t="s">
        <v>996</v>
      </c>
    </row>
    <row r="133" spans="1:10" ht="12.75" customHeight="1">
      <c r="A133" s="59" t="s">
        <v>418</v>
      </c>
      <c r="B133" s="60"/>
      <c r="C133" s="60">
        <v>241000097</v>
      </c>
      <c r="D133" s="59"/>
      <c r="E133" s="68" t="s">
        <v>552</v>
      </c>
      <c r="F133" s="64" t="s">
        <v>379</v>
      </c>
      <c r="G133" s="59" t="s">
        <v>420</v>
      </c>
      <c r="H133" s="56">
        <v>9</v>
      </c>
      <c r="I133" s="63"/>
      <c r="J133" s="56"/>
    </row>
    <row r="134" spans="1:10" s="79" customFormat="1" ht="12.75" customHeight="1">
      <c r="A134" s="59" t="s">
        <v>418</v>
      </c>
      <c r="B134" s="59"/>
      <c r="C134" s="60">
        <v>241000315</v>
      </c>
      <c r="D134" s="59"/>
      <c r="E134" s="59" t="s">
        <v>881</v>
      </c>
      <c r="F134" s="64" t="s">
        <v>379</v>
      </c>
      <c r="G134" s="59" t="s">
        <v>426</v>
      </c>
      <c r="H134" s="56"/>
      <c r="I134" s="63"/>
      <c r="J134" s="146"/>
    </row>
    <row r="135" spans="1:10" s="79" customFormat="1" ht="12.75" customHeight="1">
      <c r="A135" s="59" t="s">
        <v>442</v>
      </c>
      <c r="B135" s="60"/>
      <c r="C135" s="60">
        <v>241000102</v>
      </c>
      <c r="D135" s="59"/>
      <c r="E135" s="68" t="s">
        <v>558</v>
      </c>
      <c r="F135" s="64" t="s">
        <v>379</v>
      </c>
      <c r="G135" s="59" t="s">
        <v>445</v>
      </c>
      <c r="H135" s="56">
        <v>0</v>
      </c>
      <c r="I135" s="63"/>
      <c r="J135" s="78" t="s">
        <v>559</v>
      </c>
    </row>
    <row r="136" spans="1:10" s="79" customFormat="1" ht="12.75" customHeight="1">
      <c r="A136" s="68" t="s">
        <v>550</v>
      </c>
      <c r="B136" s="68">
        <v>50110052</v>
      </c>
      <c r="C136" s="68"/>
      <c r="D136" s="68" t="s">
        <v>1050</v>
      </c>
      <c r="E136" s="68" t="s">
        <v>1051</v>
      </c>
      <c r="F136" s="80" t="s">
        <v>379</v>
      </c>
      <c r="G136" s="106" t="s">
        <v>420</v>
      </c>
      <c r="H136" s="56">
        <v>67</v>
      </c>
      <c r="I136" s="63"/>
      <c r="J136" s="56"/>
    </row>
    <row r="137" spans="1:10" s="79" customFormat="1" ht="12.75" customHeight="1">
      <c r="A137" s="68" t="s">
        <v>630</v>
      </c>
      <c r="B137" s="68">
        <v>50110012</v>
      </c>
      <c r="C137" s="68"/>
      <c r="D137" s="68" t="s">
        <v>1034</v>
      </c>
      <c r="E137" s="68" t="s">
        <v>1035</v>
      </c>
      <c r="F137" s="80" t="s">
        <v>379</v>
      </c>
      <c r="G137" s="106" t="s">
        <v>1000</v>
      </c>
      <c r="H137" s="56"/>
      <c r="I137" s="63"/>
      <c r="J137" s="56"/>
    </row>
    <row r="138" spans="1:10" s="79" customFormat="1" ht="12.75" customHeight="1">
      <c r="A138" s="59" t="s">
        <v>418</v>
      </c>
      <c r="B138" s="60"/>
      <c r="C138" s="60">
        <v>241000115</v>
      </c>
      <c r="D138" s="59"/>
      <c r="E138" s="68" t="s">
        <v>573</v>
      </c>
      <c r="F138" s="64" t="s">
        <v>379</v>
      </c>
      <c r="G138" s="59" t="s">
        <v>423</v>
      </c>
      <c r="H138" s="56"/>
      <c r="I138" s="63"/>
      <c r="J138" s="56"/>
    </row>
    <row r="139" spans="1:10" ht="12.75" customHeight="1">
      <c r="A139" s="59" t="s">
        <v>480</v>
      </c>
      <c r="B139" s="60"/>
      <c r="C139" s="60">
        <v>241000043</v>
      </c>
      <c r="D139" s="59"/>
      <c r="E139" s="59" t="s">
        <v>485</v>
      </c>
      <c r="F139" s="64" t="s">
        <v>379</v>
      </c>
      <c r="G139" s="59" t="s">
        <v>486</v>
      </c>
      <c r="H139" s="56">
        <v>10</v>
      </c>
      <c r="I139" s="63"/>
      <c r="J139" s="56"/>
    </row>
    <row r="140" spans="1:10" ht="12.75" customHeight="1">
      <c r="A140" s="59" t="s">
        <v>442</v>
      </c>
      <c r="B140" s="59"/>
      <c r="C140" s="60">
        <v>241000269</v>
      </c>
      <c r="D140" s="59"/>
      <c r="E140" s="59" t="s">
        <v>811</v>
      </c>
      <c r="F140" s="64" t="s">
        <v>379</v>
      </c>
      <c r="G140" s="59" t="s">
        <v>445</v>
      </c>
      <c r="H140" s="56"/>
      <c r="I140" s="63"/>
      <c r="J140" s="143" t="s">
        <v>812</v>
      </c>
    </row>
    <row r="141" spans="1:10" ht="12.75" customHeight="1">
      <c r="A141" s="68" t="s">
        <v>418</v>
      </c>
      <c r="B141" s="68">
        <v>30304201</v>
      </c>
      <c r="C141" s="68" t="s">
        <v>212</v>
      </c>
      <c r="D141" s="68" t="s">
        <v>980</v>
      </c>
      <c r="E141" s="68" t="s">
        <v>981</v>
      </c>
      <c r="F141" s="80" t="s">
        <v>379</v>
      </c>
      <c r="G141" s="106" t="s">
        <v>437</v>
      </c>
      <c r="H141" s="56">
        <v>34</v>
      </c>
      <c r="I141" s="63"/>
      <c r="J141" s="66"/>
    </row>
    <row r="142" spans="1:10" ht="12.75" customHeight="1">
      <c r="A142" s="59" t="s">
        <v>435</v>
      </c>
      <c r="B142" s="59"/>
      <c r="C142" s="60">
        <v>241000166</v>
      </c>
      <c r="D142" s="59"/>
      <c r="E142" s="59" t="s">
        <v>642</v>
      </c>
      <c r="F142" s="64" t="s">
        <v>379</v>
      </c>
      <c r="G142" s="59" t="s">
        <v>437</v>
      </c>
      <c r="H142" s="56"/>
      <c r="I142" s="63"/>
      <c r="J142" s="56"/>
    </row>
    <row r="143" spans="1:10" ht="12.75" customHeight="1">
      <c r="A143" s="59" t="s">
        <v>480</v>
      </c>
      <c r="B143" s="59"/>
      <c r="C143" s="60">
        <v>241000224</v>
      </c>
      <c r="D143" s="59"/>
      <c r="E143" s="59" t="s">
        <v>743</v>
      </c>
      <c r="F143" s="64" t="s">
        <v>379</v>
      </c>
      <c r="G143" s="59" t="s">
        <v>486</v>
      </c>
      <c r="H143" s="56">
        <v>21</v>
      </c>
      <c r="I143" s="63"/>
      <c r="J143" s="66" t="s">
        <v>671</v>
      </c>
    </row>
    <row r="144" spans="1:10" ht="12.75" customHeight="1">
      <c r="A144" s="59" t="s">
        <v>480</v>
      </c>
      <c r="B144" s="59"/>
      <c r="C144" s="60">
        <v>241000165</v>
      </c>
      <c r="D144" s="59"/>
      <c r="E144" s="59" t="s">
        <v>640</v>
      </c>
      <c r="F144" s="64" t="s">
        <v>641</v>
      </c>
      <c r="G144" s="59" t="s">
        <v>486</v>
      </c>
      <c r="H144" s="56"/>
      <c r="I144" s="63"/>
      <c r="J144" s="56"/>
    </row>
    <row r="145" spans="1:10" ht="12.75" customHeight="1">
      <c r="A145" s="59" t="s">
        <v>418</v>
      </c>
      <c r="B145" s="59"/>
      <c r="C145" s="60">
        <v>241000214</v>
      </c>
      <c r="D145" s="59"/>
      <c r="E145" s="59" t="s">
        <v>731</v>
      </c>
      <c r="F145" s="64" t="s">
        <v>379</v>
      </c>
      <c r="G145" s="59" t="s">
        <v>584</v>
      </c>
      <c r="H145" s="56">
        <v>84</v>
      </c>
      <c r="I145" s="63"/>
      <c r="J145" s="66" t="s">
        <v>730</v>
      </c>
    </row>
    <row r="146" spans="1:10" ht="12.75" customHeight="1">
      <c r="A146" s="59" t="s">
        <v>418</v>
      </c>
      <c r="B146" s="59"/>
      <c r="C146" s="60">
        <v>241000215</v>
      </c>
      <c r="D146" s="59"/>
      <c r="E146" s="59" t="s">
        <v>732</v>
      </c>
      <c r="F146" s="64" t="s">
        <v>379</v>
      </c>
      <c r="G146" s="59" t="s">
        <v>584</v>
      </c>
      <c r="H146" s="56">
        <v>145</v>
      </c>
      <c r="I146" s="63"/>
      <c r="J146" s="66" t="s">
        <v>730</v>
      </c>
    </row>
    <row r="147" spans="1:10" ht="12.75" customHeight="1">
      <c r="A147" s="59" t="s">
        <v>418</v>
      </c>
      <c r="B147" s="59"/>
      <c r="C147" s="60">
        <v>241000213</v>
      </c>
      <c r="D147" s="59"/>
      <c r="E147" s="59" t="s">
        <v>729</v>
      </c>
      <c r="F147" s="64" t="s">
        <v>379</v>
      </c>
      <c r="G147" s="59" t="s">
        <v>584</v>
      </c>
      <c r="H147" s="56">
        <v>202</v>
      </c>
      <c r="I147" s="63"/>
      <c r="J147" s="66" t="s">
        <v>730</v>
      </c>
    </row>
    <row r="148" spans="1:10" ht="12.75" customHeight="1">
      <c r="A148" s="68" t="s">
        <v>418</v>
      </c>
      <c r="B148" s="68">
        <v>50110859</v>
      </c>
      <c r="C148" s="68"/>
      <c r="D148" s="68" t="s">
        <v>1121</v>
      </c>
      <c r="E148" s="68" t="s">
        <v>1208</v>
      </c>
      <c r="F148" s="80" t="s">
        <v>379</v>
      </c>
      <c r="G148" s="106" t="s">
        <v>724</v>
      </c>
      <c r="H148" s="56">
        <v>59</v>
      </c>
      <c r="I148" s="63"/>
      <c r="J148" s="66" t="s">
        <v>996</v>
      </c>
    </row>
    <row r="149" spans="1:10" ht="12.75" customHeight="1">
      <c r="A149" s="68" t="s">
        <v>418</v>
      </c>
      <c r="B149" s="68">
        <v>50111256</v>
      </c>
      <c r="C149" s="68"/>
      <c r="D149" s="68" t="s">
        <v>1209</v>
      </c>
      <c r="E149" s="68" t="s">
        <v>1210</v>
      </c>
      <c r="F149" s="80" t="s">
        <v>379</v>
      </c>
      <c r="G149" s="106" t="s">
        <v>724</v>
      </c>
      <c r="H149" s="56">
        <v>109</v>
      </c>
      <c r="I149" s="63"/>
      <c r="J149" s="66" t="s">
        <v>1211</v>
      </c>
    </row>
    <row r="150" spans="1:10" ht="12.75" customHeight="1">
      <c r="A150" s="68" t="s">
        <v>630</v>
      </c>
      <c r="B150" s="68">
        <v>50111268</v>
      </c>
      <c r="C150" s="68"/>
      <c r="D150" s="68" t="s">
        <v>1215</v>
      </c>
      <c r="E150" s="68" t="s">
        <v>1216</v>
      </c>
      <c r="F150" s="80" t="s">
        <v>379</v>
      </c>
      <c r="G150" s="106" t="s">
        <v>772</v>
      </c>
      <c r="H150" s="56"/>
      <c r="I150" s="63"/>
      <c r="J150" s="56"/>
    </row>
    <row r="151" spans="1:10" ht="12.75" customHeight="1">
      <c r="A151" s="68" t="s">
        <v>418</v>
      </c>
      <c r="B151" s="68">
        <v>50111264</v>
      </c>
      <c r="C151" s="68"/>
      <c r="D151" s="68" t="s">
        <v>1213</v>
      </c>
      <c r="E151" s="68" t="s">
        <v>1214</v>
      </c>
      <c r="F151" s="80" t="s">
        <v>379</v>
      </c>
      <c r="G151" s="106" t="s">
        <v>486</v>
      </c>
      <c r="H151" s="56">
        <v>763</v>
      </c>
      <c r="I151" s="63"/>
      <c r="J151" s="56"/>
    </row>
    <row r="152" spans="1:10" ht="12.75" customHeight="1">
      <c r="A152" s="68" t="s">
        <v>418</v>
      </c>
      <c r="B152" s="60">
        <v>50111260</v>
      </c>
      <c r="C152" s="68"/>
      <c r="D152" s="68"/>
      <c r="E152" s="68" t="s">
        <v>1212</v>
      </c>
      <c r="F152" s="80" t="s">
        <v>379</v>
      </c>
      <c r="G152" s="106" t="s">
        <v>584</v>
      </c>
      <c r="H152" s="56">
        <v>126</v>
      </c>
      <c r="I152" s="63"/>
      <c r="J152" s="66" t="s">
        <v>1211</v>
      </c>
    </row>
    <row r="153" spans="1:10" ht="12.75" customHeight="1">
      <c r="A153" s="68" t="s">
        <v>418</v>
      </c>
      <c r="B153" s="68">
        <v>50110028</v>
      </c>
      <c r="C153" s="68"/>
      <c r="D153" s="68" t="s">
        <v>1043</v>
      </c>
      <c r="E153" s="68" t="s">
        <v>1044</v>
      </c>
      <c r="F153" s="80" t="s">
        <v>379</v>
      </c>
      <c r="G153" s="106" t="s">
        <v>437</v>
      </c>
      <c r="H153" s="56">
        <v>35</v>
      </c>
      <c r="I153" s="63"/>
      <c r="J153" s="56"/>
    </row>
    <row r="154" spans="1:10" ht="12.75" customHeight="1">
      <c r="A154" s="68" t="s">
        <v>418</v>
      </c>
      <c r="B154" s="60">
        <v>50110005</v>
      </c>
      <c r="C154" s="68"/>
      <c r="D154" s="68"/>
      <c r="E154" s="68" t="s">
        <v>1030</v>
      </c>
      <c r="F154" s="80" t="s">
        <v>379</v>
      </c>
      <c r="G154" s="106" t="s">
        <v>584</v>
      </c>
      <c r="H154" s="56"/>
      <c r="I154" s="63"/>
      <c r="J154" s="59"/>
    </row>
    <row r="155" spans="1:10" ht="12.75" customHeight="1">
      <c r="A155" s="59" t="s">
        <v>480</v>
      </c>
      <c r="B155" s="60">
        <v>50111405</v>
      </c>
      <c r="C155" s="68"/>
      <c r="D155" s="68"/>
      <c r="E155" s="68" t="s">
        <v>1227</v>
      </c>
      <c r="F155" s="80" t="s">
        <v>379</v>
      </c>
      <c r="G155" s="106" t="s">
        <v>486</v>
      </c>
      <c r="H155" s="56">
        <v>3</v>
      </c>
      <c r="I155" s="63">
        <v>36</v>
      </c>
      <c r="J155" s="56" t="s">
        <v>571</v>
      </c>
    </row>
    <row r="156" spans="1:10" ht="12.75" customHeight="1">
      <c r="A156" s="59" t="s">
        <v>480</v>
      </c>
      <c r="B156" s="60">
        <v>50111205</v>
      </c>
      <c r="C156" s="68"/>
      <c r="D156" s="68"/>
      <c r="E156" s="68" t="s">
        <v>1199</v>
      </c>
      <c r="F156" s="80" t="s">
        <v>379</v>
      </c>
      <c r="G156" s="106" t="s">
        <v>486</v>
      </c>
      <c r="H156" s="56">
        <v>27</v>
      </c>
      <c r="I156" s="63">
        <v>38</v>
      </c>
      <c r="J156" s="56" t="s">
        <v>996</v>
      </c>
    </row>
    <row r="157" spans="1:10" ht="12.75" customHeight="1">
      <c r="A157" s="59" t="s">
        <v>480</v>
      </c>
      <c r="B157" s="60">
        <v>50111004</v>
      </c>
      <c r="C157" s="68"/>
      <c r="D157" s="68"/>
      <c r="E157" s="68" t="s">
        <v>1190</v>
      </c>
      <c r="F157" s="80" t="s">
        <v>379</v>
      </c>
      <c r="G157" s="106" t="s">
        <v>486</v>
      </c>
      <c r="H157" s="56">
        <v>42</v>
      </c>
      <c r="I157" s="63"/>
      <c r="J157" s="56" t="s">
        <v>996</v>
      </c>
    </row>
    <row r="158" spans="1:10" ht="12.75" customHeight="1">
      <c r="A158" s="68" t="s">
        <v>480</v>
      </c>
      <c r="B158" s="68">
        <v>50111204</v>
      </c>
      <c r="C158" s="68"/>
      <c r="D158" s="68" t="s">
        <v>1197</v>
      </c>
      <c r="E158" s="68" t="s">
        <v>1198</v>
      </c>
      <c r="F158" s="80" t="s">
        <v>379</v>
      </c>
      <c r="G158" s="106" t="s">
        <v>486</v>
      </c>
      <c r="H158" s="56">
        <v>14</v>
      </c>
      <c r="I158" s="63"/>
      <c r="J158" s="56"/>
    </row>
    <row r="159" spans="1:10" ht="12.75" customHeight="1">
      <c r="A159" s="59" t="s">
        <v>480</v>
      </c>
      <c r="B159" s="60"/>
      <c r="C159" s="60">
        <v>241000095</v>
      </c>
      <c r="D159" s="59"/>
      <c r="E159" s="68" t="s">
        <v>549</v>
      </c>
      <c r="F159" s="64" t="s">
        <v>379</v>
      </c>
      <c r="G159" s="59" t="s">
        <v>420</v>
      </c>
      <c r="H159" s="56">
        <v>5</v>
      </c>
      <c r="I159" s="63"/>
      <c r="J159" s="56"/>
    </row>
    <row r="160" spans="1:10" ht="12.75" customHeight="1">
      <c r="A160" s="59" t="s">
        <v>480</v>
      </c>
      <c r="B160" s="60"/>
      <c r="C160" s="60">
        <v>241000111</v>
      </c>
      <c r="D160" s="59"/>
      <c r="E160" s="60" t="s">
        <v>568</v>
      </c>
      <c r="F160" s="64" t="s">
        <v>379</v>
      </c>
      <c r="G160" s="59" t="s">
        <v>486</v>
      </c>
      <c r="H160" s="56"/>
      <c r="I160" s="63">
        <v>12</v>
      </c>
      <c r="J160" s="56" t="s">
        <v>569</v>
      </c>
    </row>
    <row r="161" spans="1:10" ht="12.75" customHeight="1">
      <c r="A161" s="59" t="s">
        <v>480</v>
      </c>
      <c r="B161" s="60">
        <v>50111220</v>
      </c>
      <c r="C161" s="68"/>
      <c r="D161" s="59"/>
      <c r="E161" s="60" t="s">
        <v>1200</v>
      </c>
      <c r="F161" s="64" t="s">
        <v>379</v>
      </c>
      <c r="G161" s="59" t="s">
        <v>486</v>
      </c>
      <c r="H161" s="56">
        <v>6</v>
      </c>
      <c r="I161" s="63">
        <v>19</v>
      </c>
      <c r="J161" s="56"/>
    </row>
    <row r="162" spans="1:10" ht="12.75" customHeight="1">
      <c r="A162" s="68" t="s">
        <v>480</v>
      </c>
      <c r="B162" s="68">
        <v>50111203</v>
      </c>
      <c r="C162" s="68"/>
      <c r="D162" s="68" t="s">
        <v>1195</v>
      </c>
      <c r="E162" s="68" t="s">
        <v>1196</v>
      </c>
      <c r="F162" s="80" t="s">
        <v>379</v>
      </c>
      <c r="G162" s="106" t="s">
        <v>486</v>
      </c>
      <c r="H162" s="56">
        <v>1</v>
      </c>
      <c r="I162" s="63">
        <v>19</v>
      </c>
      <c r="J162" s="56"/>
    </row>
    <row r="163" spans="1:10" ht="12.75" customHeight="1">
      <c r="A163" s="59" t="s">
        <v>480</v>
      </c>
      <c r="B163" s="68"/>
      <c r="C163" s="60">
        <v>241000113</v>
      </c>
      <c r="D163" s="59"/>
      <c r="E163" s="60" t="s">
        <v>570</v>
      </c>
      <c r="F163" s="64" t="s">
        <v>379</v>
      </c>
      <c r="G163" s="59" t="s">
        <v>420</v>
      </c>
      <c r="H163" s="56"/>
      <c r="I163" s="63">
        <v>25</v>
      </c>
      <c r="J163" s="56" t="s">
        <v>571</v>
      </c>
    </row>
    <row r="164" spans="1:10" ht="12.75" customHeight="1">
      <c r="A164" s="59" t="s">
        <v>418</v>
      </c>
      <c r="B164" s="60"/>
      <c r="C164" s="60">
        <v>241000110</v>
      </c>
      <c r="D164" s="59"/>
      <c r="E164" s="68" t="s">
        <v>567</v>
      </c>
      <c r="F164" s="64" t="s">
        <v>379</v>
      </c>
      <c r="G164" s="59" t="s">
        <v>420</v>
      </c>
      <c r="H164" s="56">
        <v>28</v>
      </c>
      <c r="I164" s="63"/>
      <c r="J164" s="56"/>
    </row>
    <row r="165" spans="1:10" ht="12.75" customHeight="1">
      <c r="A165" s="68" t="s">
        <v>418</v>
      </c>
      <c r="B165" s="68">
        <v>50111240</v>
      </c>
      <c r="C165" s="60"/>
      <c r="D165" s="68" t="s">
        <v>1201</v>
      </c>
      <c r="E165" s="68" t="s">
        <v>1202</v>
      </c>
      <c r="F165" s="64" t="s">
        <v>379</v>
      </c>
      <c r="G165" s="59" t="s">
        <v>584</v>
      </c>
      <c r="H165" s="56">
        <v>71</v>
      </c>
      <c r="I165" s="63"/>
      <c r="J165" s="56"/>
    </row>
    <row r="166" spans="1:10" ht="12.75" customHeight="1">
      <c r="A166" s="59" t="s">
        <v>480</v>
      </c>
      <c r="B166" s="68"/>
      <c r="C166" s="60">
        <v>241000114</v>
      </c>
      <c r="D166" s="59"/>
      <c r="E166" s="60" t="s">
        <v>572</v>
      </c>
      <c r="F166" s="64" t="s">
        <v>379</v>
      </c>
      <c r="G166" s="59" t="s">
        <v>473</v>
      </c>
      <c r="H166" s="56">
        <v>8</v>
      </c>
      <c r="I166" s="63">
        <v>25</v>
      </c>
      <c r="J166" s="56"/>
    </row>
    <row r="167" spans="1:10" ht="12.75" customHeight="1">
      <c r="A167" s="68" t="s">
        <v>418</v>
      </c>
      <c r="B167" s="68">
        <v>50110861</v>
      </c>
      <c r="C167" s="68"/>
      <c r="D167" s="68" t="s">
        <v>1188</v>
      </c>
      <c r="E167" s="68" t="s">
        <v>1189</v>
      </c>
      <c r="F167" s="80" t="s">
        <v>379</v>
      </c>
      <c r="G167" s="106" t="s">
        <v>420</v>
      </c>
      <c r="H167" s="56">
        <v>79</v>
      </c>
      <c r="I167" s="63">
        <v>20</v>
      </c>
      <c r="J167" s="56"/>
    </row>
    <row r="168" spans="1:10" ht="12.75" customHeight="1">
      <c r="A168" s="59" t="s">
        <v>603</v>
      </c>
      <c r="B168" s="59"/>
      <c r="C168" s="60">
        <v>241000335</v>
      </c>
      <c r="D168" s="59"/>
      <c r="E168" s="81" t="s">
        <v>914</v>
      </c>
      <c r="F168" s="80" t="s">
        <v>379</v>
      </c>
      <c r="G168" s="60"/>
      <c r="H168" s="56"/>
      <c r="I168" s="63"/>
      <c r="J168" s="146"/>
    </row>
    <row r="169" spans="1:10" ht="12.75" customHeight="1">
      <c r="A169" s="68" t="s">
        <v>480</v>
      </c>
      <c r="B169" s="68">
        <v>49360058</v>
      </c>
      <c r="C169" s="68"/>
      <c r="D169" s="68" t="s">
        <v>1019</v>
      </c>
      <c r="E169" s="68" t="s">
        <v>1020</v>
      </c>
      <c r="F169" s="80" t="s">
        <v>379</v>
      </c>
      <c r="G169" s="106" t="s">
        <v>584</v>
      </c>
      <c r="H169" s="56">
        <v>48</v>
      </c>
      <c r="I169" s="63"/>
      <c r="J169" s="66"/>
    </row>
    <row r="170" spans="1:10" ht="12.75" customHeight="1">
      <c r="A170" s="59" t="s">
        <v>435</v>
      </c>
      <c r="B170" s="60"/>
      <c r="C170" s="60">
        <v>241000053</v>
      </c>
      <c r="D170" s="59"/>
      <c r="E170" s="59" t="s">
        <v>498</v>
      </c>
      <c r="F170" s="64" t="s">
        <v>379</v>
      </c>
      <c r="G170" s="59" t="s">
        <v>416</v>
      </c>
      <c r="H170" s="56">
        <v>248</v>
      </c>
      <c r="I170" s="63"/>
      <c r="J170" s="56"/>
    </row>
    <row r="171" spans="1:10" ht="12.75" customHeight="1">
      <c r="A171" s="68" t="s">
        <v>418</v>
      </c>
      <c r="B171" s="68">
        <v>53460151</v>
      </c>
      <c r="C171" s="68"/>
      <c r="D171" s="68" t="s">
        <v>1306</v>
      </c>
      <c r="E171" s="68" t="s">
        <v>1307</v>
      </c>
      <c r="F171" s="80" t="s">
        <v>379</v>
      </c>
      <c r="G171" s="106" t="s">
        <v>437</v>
      </c>
      <c r="H171" s="56">
        <v>4464</v>
      </c>
      <c r="I171" s="63"/>
      <c r="J171" s="56"/>
    </row>
    <row r="172" spans="1:10" ht="12.75" customHeight="1">
      <c r="A172" s="68" t="s">
        <v>1037</v>
      </c>
      <c r="B172" s="68">
        <v>50110014</v>
      </c>
      <c r="C172" s="68"/>
      <c r="D172" s="68" t="s">
        <v>1038</v>
      </c>
      <c r="E172" s="68" t="s">
        <v>1039</v>
      </c>
      <c r="F172" s="80" t="s">
        <v>379</v>
      </c>
      <c r="G172" s="106" t="s">
        <v>420</v>
      </c>
      <c r="H172" s="56">
        <v>217</v>
      </c>
      <c r="I172" s="63"/>
      <c r="J172" s="56"/>
    </row>
    <row r="173" spans="1:10" ht="12.75" customHeight="1">
      <c r="A173" s="59" t="s">
        <v>418</v>
      </c>
      <c r="B173" s="60"/>
      <c r="C173" s="60">
        <v>241000010</v>
      </c>
      <c r="D173" s="59"/>
      <c r="E173" s="59" t="s">
        <v>419</v>
      </c>
      <c r="F173" s="64" t="s">
        <v>379</v>
      </c>
      <c r="G173" s="59" t="s">
        <v>420</v>
      </c>
      <c r="H173" s="56">
        <v>13</v>
      </c>
      <c r="I173" s="63"/>
      <c r="J173" s="66"/>
    </row>
    <row r="174" spans="1:10" ht="12.75" customHeight="1">
      <c r="A174" s="68" t="s">
        <v>418</v>
      </c>
      <c r="B174" s="68">
        <v>50111244</v>
      </c>
      <c r="C174" s="68"/>
      <c r="D174" s="68" t="s">
        <v>1204</v>
      </c>
      <c r="E174" s="68" t="s">
        <v>1205</v>
      </c>
      <c r="F174" s="80" t="s">
        <v>379</v>
      </c>
      <c r="G174" s="106" t="s">
        <v>584</v>
      </c>
      <c r="H174" s="56">
        <v>74</v>
      </c>
      <c r="I174" s="63"/>
      <c r="J174" s="56"/>
    </row>
    <row r="175" spans="1:10" ht="12.75" customHeight="1">
      <c r="A175" s="59" t="s">
        <v>442</v>
      </c>
      <c r="B175" s="60"/>
      <c r="C175" s="60">
        <v>241000060</v>
      </c>
      <c r="D175" s="59"/>
      <c r="E175" s="59" t="s">
        <v>508</v>
      </c>
      <c r="F175" s="64" t="s">
        <v>380</v>
      </c>
      <c r="G175" s="59" t="s">
        <v>445</v>
      </c>
      <c r="H175" s="56">
        <v>46</v>
      </c>
      <c r="I175" s="63"/>
      <c r="J175" s="56" t="s">
        <v>509</v>
      </c>
    </row>
    <row r="176" spans="1:10" ht="12.75" customHeight="1">
      <c r="A176" s="59" t="s">
        <v>442</v>
      </c>
      <c r="B176" s="60"/>
      <c r="C176" s="60">
        <v>241000103</v>
      </c>
      <c r="D176" s="59"/>
      <c r="E176" s="68" t="s">
        <v>508</v>
      </c>
      <c r="F176" s="64" t="s">
        <v>379</v>
      </c>
      <c r="G176" s="59" t="s">
        <v>445</v>
      </c>
      <c r="H176" s="56"/>
      <c r="I176" s="63"/>
      <c r="J176" s="78" t="s">
        <v>560</v>
      </c>
    </row>
    <row r="177" spans="1:10" ht="12.75" customHeight="1">
      <c r="A177" s="59" t="s">
        <v>418</v>
      </c>
      <c r="B177" s="59"/>
      <c r="C177" s="60">
        <v>241000282</v>
      </c>
      <c r="D177" s="59"/>
      <c r="E177" s="59" t="s">
        <v>830</v>
      </c>
      <c r="F177" s="64" t="s">
        <v>379</v>
      </c>
      <c r="G177" s="59" t="s">
        <v>825</v>
      </c>
      <c r="H177" s="56"/>
      <c r="I177" s="63"/>
      <c r="J177" s="143"/>
    </row>
    <row r="178" spans="1:10" ht="12.75" customHeight="1">
      <c r="A178" s="59" t="s">
        <v>418</v>
      </c>
      <c r="B178" s="60">
        <v>50110013</v>
      </c>
      <c r="C178" s="68"/>
      <c r="D178" s="68"/>
      <c r="E178" s="68" t="s">
        <v>1036</v>
      </c>
      <c r="F178" s="80" t="s">
        <v>379</v>
      </c>
      <c r="G178" s="106" t="s">
        <v>486</v>
      </c>
      <c r="H178" s="56"/>
      <c r="I178" s="63"/>
      <c r="J178" s="56"/>
    </row>
    <row r="179" spans="1:10" ht="12.75" customHeight="1">
      <c r="A179" s="68" t="s">
        <v>418</v>
      </c>
      <c r="B179" s="60">
        <v>50111240</v>
      </c>
      <c r="C179" s="68"/>
      <c r="D179" s="68"/>
      <c r="E179" s="68" t="s">
        <v>1203</v>
      </c>
      <c r="F179" s="80" t="s">
        <v>379</v>
      </c>
      <c r="G179" s="106" t="s">
        <v>584</v>
      </c>
      <c r="H179" s="56"/>
      <c r="I179" s="63"/>
      <c r="J179" s="56"/>
    </row>
    <row r="180" spans="1:10" ht="12.75" customHeight="1">
      <c r="A180" s="59" t="s">
        <v>550</v>
      </c>
      <c r="B180" s="60"/>
      <c r="C180" s="60">
        <v>241000096</v>
      </c>
      <c r="D180" s="59"/>
      <c r="E180" s="68" t="s">
        <v>551</v>
      </c>
      <c r="F180" s="64" t="s">
        <v>379</v>
      </c>
      <c r="G180" s="59" t="s">
        <v>420</v>
      </c>
      <c r="H180" s="56">
        <v>77</v>
      </c>
      <c r="I180" s="63"/>
      <c r="J180" s="56"/>
    </row>
    <row r="181" spans="1:10" ht="12.75" customHeight="1">
      <c r="A181" s="59" t="s">
        <v>442</v>
      </c>
      <c r="B181" s="59"/>
      <c r="C181" s="60">
        <v>241000273</v>
      </c>
      <c r="D181" s="59"/>
      <c r="E181" s="59" t="s">
        <v>818</v>
      </c>
      <c r="F181" s="64" t="s">
        <v>379</v>
      </c>
      <c r="G181" s="59" t="s">
        <v>445</v>
      </c>
      <c r="H181" s="56"/>
      <c r="I181" s="63"/>
      <c r="J181" s="143" t="s">
        <v>819</v>
      </c>
    </row>
    <row r="182" spans="1:10" ht="12.75" customHeight="1">
      <c r="A182" s="68" t="s">
        <v>550</v>
      </c>
      <c r="B182" s="68">
        <v>50110056</v>
      </c>
      <c r="C182" s="68"/>
      <c r="D182" s="68" t="s">
        <v>1052</v>
      </c>
      <c r="E182" s="68" t="s">
        <v>1053</v>
      </c>
      <c r="F182" s="80" t="s">
        <v>379</v>
      </c>
      <c r="G182" s="106" t="s">
        <v>420</v>
      </c>
      <c r="H182" s="56">
        <v>22</v>
      </c>
      <c r="I182" s="63"/>
      <c r="J182" s="56"/>
    </row>
    <row r="183" spans="1:10" ht="12.75" customHeight="1">
      <c r="A183" s="68" t="s">
        <v>550</v>
      </c>
      <c r="B183" s="68">
        <v>50110057</v>
      </c>
      <c r="C183" s="68"/>
      <c r="D183" s="68"/>
      <c r="E183" s="68" t="s">
        <v>1054</v>
      </c>
      <c r="F183" s="80" t="s">
        <v>379</v>
      </c>
      <c r="G183" s="106" t="s">
        <v>420</v>
      </c>
      <c r="H183" s="56">
        <v>15</v>
      </c>
      <c r="I183" s="63"/>
      <c r="J183" s="56"/>
    </row>
    <row r="184" spans="1:10" ht="12.75" customHeight="1">
      <c r="A184" s="59" t="s">
        <v>550</v>
      </c>
      <c r="B184" s="60">
        <v>50110107</v>
      </c>
      <c r="C184" s="68"/>
      <c r="D184" s="68"/>
      <c r="E184" s="68" t="s">
        <v>1083</v>
      </c>
      <c r="F184" s="80" t="s">
        <v>379</v>
      </c>
      <c r="G184" s="106" t="s">
        <v>1056</v>
      </c>
      <c r="H184" s="56"/>
      <c r="I184" s="63"/>
      <c r="J184" s="56"/>
    </row>
    <row r="185" spans="1:10" ht="12.75" customHeight="1">
      <c r="A185" s="59" t="s">
        <v>550</v>
      </c>
      <c r="B185" s="60">
        <v>50110058</v>
      </c>
      <c r="C185" s="68"/>
      <c r="D185" s="68"/>
      <c r="E185" s="68" t="s">
        <v>1055</v>
      </c>
      <c r="F185" s="80" t="s">
        <v>379</v>
      </c>
      <c r="G185" s="106" t="s">
        <v>1056</v>
      </c>
      <c r="H185" s="56"/>
      <c r="I185" s="63"/>
      <c r="J185" s="56"/>
    </row>
    <row r="186" spans="1:10" ht="12.75" customHeight="1">
      <c r="A186" s="59" t="s">
        <v>442</v>
      </c>
      <c r="B186" s="60"/>
      <c r="C186" s="60">
        <v>241000024</v>
      </c>
      <c r="D186" s="59"/>
      <c r="E186" s="70" t="s">
        <v>451</v>
      </c>
      <c r="F186" s="64" t="s">
        <v>452</v>
      </c>
      <c r="G186" s="59" t="s">
        <v>445</v>
      </c>
      <c r="H186" s="56">
        <v>458</v>
      </c>
      <c r="I186" s="63"/>
      <c r="J186" s="66" t="s">
        <v>453</v>
      </c>
    </row>
    <row r="187" spans="1:10" ht="12.75" customHeight="1">
      <c r="A187" s="68" t="s">
        <v>550</v>
      </c>
      <c r="B187" s="68">
        <v>50164404</v>
      </c>
      <c r="C187" s="68"/>
      <c r="D187" s="68" t="s">
        <v>1278</v>
      </c>
      <c r="E187" s="68" t="s">
        <v>1279</v>
      </c>
      <c r="F187" s="80" t="s">
        <v>452</v>
      </c>
      <c r="G187" s="106" t="s">
        <v>1063</v>
      </c>
      <c r="H187" s="56"/>
      <c r="I187" s="63"/>
      <c r="J187" s="56"/>
    </row>
    <row r="188" spans="1:10" ht="12.75" customHeight="1">
      <c r="A188" s="68" t="s">
        <v>550</v>
      </c>
      <c r="B188" s="68">
        <v>50160534</v>
      </c>
      <c r="C188" s="55"/>
      <c r="D188" s="68" t="s">
        <v>1276</v>
      </c>
      <c r="E188" s="68" t="s">
        <v>1277</v>
      </c>
      <c r="F188" s="80" t="s">
        <v>452</v>
      </c>
      <c r="G188" s="106" t="s">
        <v>1063</v>
      </c>
      <c r="H188" s="56"/>
      <c r="I188" s="63"/>
      <c r="J188" s="56"/>
    </row>
    <row r="189" spans="1:10" ht="12.75" customHeight="1">
      <c r="A189" s="59" t="s">
        <v>442</v>
      </c>
      <c r="B189" s="60"/>
      <c r="C189" s="60">
        <v>241000025</v>
      </c>
      <c r="D189" s="59"/>
      <c r="E189" s="70" t="s">
        <v>454</v>
      </c>
      <c r="F189" s="64" t="s">
        <v>452</v>
      </c>
      <c r="G189" s="59" t="s">
        <v>445</v>
      </c>
      <c r="H189" s="56">
        <v>168</v>
      </c>
      <c r="I189" s="63"/>
      <c r="J189" s="66" t="s">
        <v>455</v>
      </c>
    </row>
    <row r="190" spans="1:10" ht="12.75" customHeight="1">
      <c r="A190" s="59" t="s">
        <v>418</v>
      </c>
      <c r="B190" s="59"/>
      <c r="C190" s="60">
        <v>241000196</v>
      </c>
      <c r="D190" s="59"/>
      <c r="E190" s="59" t="s">
        <v>698</v>
      </c>
      <c r="F190" s="64" t="s">
        <v>699</v>
      </c>
      <c r="G190" s="60" t="s">
        <v>482</v>
      </c>
      <c r="H190" s="56"/>
      <c r="I190" s="63"/>
      <c r="J190" s="56"/>
    </row>
    <row r="191" spans="1:10" ht="12.75" customHeight="1">
      <c r="A191" s="59" t="s">
        <v>684</v>
      </c>
      <c r="B191" s="59"/>
      <c r="C191" s="60">
        <v>241000341</v>
      </c>
      <c r="D191" s="59"/>
      <c r="E191" s="59" t="s">
        <v>923</v>
      </c>
      <c r="F191" s="64" t="s">
        <v>452</v>
      </c>
      <c r="G191" s="60"/>
      <c r="H191" s="56"/>
      <c r="I191" s="63"/>
      <c r="J191" s="146" t="s">
        <v>686</v>
      </c>
    </row>
    <row r="192" spans="1:10" ht="12.75" customHeight="1">
      <c r="A192" s="59" t="s">
        <v>684</v>
      </c>
      <c r="B192" s="59"/>
      <c r="C192" s="60">
        <v>241000190</v>
      </c>
      <c r="D192" s="59"/>
      <c r="E192" s="59" t="s">
        <v>685</v>
      </c>
      <c r="F192" s="64" t="s">
        <v>452</v>
      </c>
      <c r="G192" s="60" t="s">
        <v>683</v>
      </c>
      <c r="H192" s="56"/>
      <c r="I192" s="63"/>
      <c r="J192" s="56" t="s">
        <v>686</v>
      </c>
    </row>
    <row r="193" spans="1:10" ht="12.75" customHeight="1">
      <c r="A193" s="68" t="s">
        <v>442</v>
      </c>
      <c r="B193" s="68">
        <v>51000106</v>
      </c>
      <c r="C193" s="68"/>
      <c r="D193" s="68" t="s">
        <v>1284</v>
      </c>
      <c r="E193" s="68" t="s">
        <v>1285</v>
      </c>
      <c r="F193" s="80" t="s">
        <v>452</v>
      </c>
      <c r="G193" s="106" t="s">
        <v>1063</v>
      </c>
      <c r="H193" s="56"/>
      <c r="I193" s="63"/>
      <c r="J193" s="66" t="s">
        <v>1286</v>
      </c>
    </row>
    <row r="194" spans="1:10" ht="12.75" customHeight="1">
      <c r="A194" s="59" t="s">
        <v>442</v>
      </c>
      <c r="B194" s="60"/>
      <c r="C194" s="60">
        <v>241000054</v>
      </c>
      <c r="D194" s="59"/>
      <c r="E194" s="59" t="s">
        <v>499</v>
      </c>
      <c r="F194" s="64" t="s">
        <v>496</v>
      </c>
      <c r="G194" s="59" t="s">
        <v>445</v>
      </c>
      <c r="H194" s="56">
        <v>467</v>
      </c>
      <c r="I194" s="63"/>
      <c r="J194" s="56"/>
    </row>
    <row r="195" spans="1:10" ht="12.75" customHeight="1">
      <c r="A195" s="59" t="s">
        <v>442</v>
      </c>
      <c r="B195" s="60"/>
      <c r="C195" s="60">
        <v>241000052</v>
      </c>
      <c r="D195" s="59"/>
      <c r="E195" s="59" t="s">
        <v>497</v>
      </c>
      <c r="F195" s="64" t="s">
        <v>496</v>
      </c>
      <c r="G195" s="59" t="s">
        <v>445</v>
      </c>
      <c r="H195" s="56">
        <v>513</v>
      </c>
      <c r="I195" s="63"/>
      <c r="J195" s="56"/>
    </row>
    <row r="196" spans="1:10" ht="12.75" customHeight="1">
      <c r="A196" s="59" t="s">
        <v>442</v>
      </c>
      <c r="B196" s="60"/>
      <c r="C196" s="60">
        <v>241000023</v>
      </c>
      <c r="D196" s="59"/>
      <c r="E196" s="70" t="s">
        <v>450</v>
      </c>
      <c r="F196" s="64" t="s">
        <v>448</v>
      </c>
      <c r="G196" s="59" t="s">
        <v>445</v>
      </c>
      <c r="H196" s="56">
        <v>75</v>
      </c>
      <c r="I196" s="63"/>
      <c r="J196" s="66" t="s">
        <v>449</v>
      </c>
    </row>
    <row r="197" spans="1:10" ht="12.75" customHeight="1">
      <c r="A197" s="59" t="s">
        <v>442</v>
      </c>
      <c r="B197" s="60"/>
      <c r="C197" s="60">
        <v>241000051</v>
      </c>
      <c r="D197" s="59"/>
      <c r="E197" s="59" t="s">
        <v>495</v>
      </c>
      <c r="F197" s="71" t="s">
        <v>496</v>
      </c>
      <c r="G197" s="59" t="s">
        <v>445</v>
      </c>
      <c r="H197" s="56">
        <v>49</v>
      </c>
      <c r="I197" s="63"/>
      <c r="J197" s="56"/>
    </row>
    <row r="198" spans="1:10" ht="12.75" customHeight="1">
      <c r="A198" s="68" t="s">
        <v>442</v>
      </c>
      <c r="B198" s="68">
        <v>100011406</v>
      </c>
      <c r="C198" s="68"/>
      <c r="D198" s="68" t="s">
        <v>1334</v>
      </c>
      <c r="E198" s="68" t="s">
        <v>1335</v>
      </c>
      <c r="F198" s="80" t="s">
        <v>452</v>
      </c>
      <c r="G198" s="106" t="s">
        <v>1063</v>
      </c>
      <c r="H198" s="56"/>
      <c r="I198" s="63"/>
      <c r="J198" s="66"/>
    </row>
    <row r="199" spans="1:10" ht="12.75" customHeight="1">
      <c r="A199" s="59" t="s">
        <v>442</v>
      </c>
      <c r="B199" s="60"/>
      <c r="C199" s="60">
        <v>241000022</v>
      </c>
      <c r="D199" s="59"/>
      <c r="E199" s="70" t="s">
        <v>447</v>
      </c>
      <c r="F199" s="64" t="s">
        <v>448</v>
      </c>
      <c r="G199" s="59" t="s">
        <v>445</v>
      </c>
      <c r="H199" s="56">
        <v>505</v>
      </c>
      <c r="I199" s="63"/>
      <c r="J199" s="66" t="s">
        <v>449</v>
      </c>
    </row>
    <row r="200" spans="1:10" ht="12.75" customHeight="1">
      <c r="A200" s="59" t="s">
        <v>965</v>
      </c>
      <c r="B200" s="59"/>
      <c r="C200" s="60">
        <v>241000366</v>
      </c>
      <c r="D200" s="59"/>
      <c r="E200" s="59" t="s">
        <v>968</v>
      </c>
      <c r="F200" s="64"/>
      <c r="G200" s="60" t="s">
        <v>969</v>
      </c>
      <c r="H200" s="56"/>
      <c r="I200" s="63"/>
      <c r="J200" s="146"/>
    </row>
    <row r="201" spans="1:10" ht="12.75" customHeight="1">
      <c r="A201" s="59" t="s">
        <v>903</v>
      </c>
      <c r="B201" s="59"/>
      <c r="C201" s="60">
        <v>241000342</v>
      </c>
      <c r="D201" s="59"/>
      <c r="E201" s="59" t="s">
        <v>924</v>
      </c>
      <c r="F201" s="64" t="s">
        <v>925</v>
      </c>
      <c r="G201" s="60"/>
      <c r="H201" s="56"/>
      <c r="I201" s="63"/>
      <c r="J201" s="146"/>
    </row>
    <row r="202" spans="1:10" ht="12.75" customHeight="1">
      <c r="A202" s="68" t="s">
        <v>418</v>
      </c>
      <c r="B202" s="68">
        <v>50113240</v>
      </c>
      <c r="C202" s="55"/>
      <c r="D202" s="68" t="s">
        <v>1255</v>
      </c>
      <c r="E202" s="68" t="s">
        <v>1256</v>
      </c>
      <c r="F202" s="112" t="s">
        <v>380</v>
      </c>
      <c r="G202" s="113" t="s">
        <v>426</v>
      </c>
      <c r="H202" s="55">
        <v>36</v>
      </c>
      <c r="I202" s="141"/>
      <c r="J202" s="68"/>
    </row>
    <row r="203" spans="1:10" ht="12.75" customHeight="1">
      <c r="A203" s="59" t="s">
        <v>873</v>
      </c>
      <c r="B203" s="59"/>
      <c r="C203" s="60">
        <v>241000312</v>
      </c>
      <c r="D203" s="59"/>
      <c r="E203" s="59" t="s">
        <v>874</v>
      </c>
      <c r="F203" s="64" t="s">
        <v>875</v>
      </c>
      <c r="G203" s="59" t="s">
        <v>809</v>
      </c>
      <c r="H203" s="56"/>
      <c r="I203" s="63"/>
      <c r="J203" s="59" t="s">
        <v>876</v>
      </c>
    </row>
    <row r="204" spans="1:10" ht="12.75" customHeight="1">
      <c r="A204" s="59" t="s">
        <v>869</v>
      </c>
      <c r="B204" s="59"/>
      <c r="C204" s="60">
        <v>241000311</v>
      </c>
      <c r="D204" s="59"/>
      <c r="E204" s="59" t="s">
        <v>870</v>
      </c>
      <c r="F204" s="64" t="s">
        <v>871</v>
      </c>
      <c r="G204" s="59" t="s">
        <v>809</v>
      </c>
      <c r="H204" s="56"/>
      <c r="I204" s="63"/>
      <c r="J204" s="59" t="s">
        <v>872</v>
      </c>
    </row>
    <row r="205" spans="1:10" ht="12.75" customHeight="1">
      <c r="A205" s="59" t="s">
        <v>442</v>
      </c>
      <c r="B205" s="60">
        <v>51000578</v>
      </c>
      <c r="C205" s="68"/>
      <c r="D205" s="68"/>
      <c r="E205" s="59" t="s">
        <v>1293</v>
      </c>
      <c r="F205" s="80" t="s">
        <v>1294</v>
      </c>
      <c r="G205" s="106" t="s">
        <v>1295</v>
      </c>
      <c r="H205" s="56"/>
      <c r="I205" s="63"/>
      <c r="J205" s="56"/>
    </row>
    <row r="206" spans="1:10" ht="12.75" customHeight="1">
      <c r="A206" s="59" t="s">
        <v>936</v>
      </c>
      <c r="B206" s="60">
        <v>51000579</v>
      </c>
      <c r="C206" s="60"/>
      <c r="D206" s="59"/>
      <c r="E206" s="59" t="s">
        <v>977</v>
      </c>
      <c r="F206" s="64"/>
      <c r="G206" s="59"/>
      <c r="H206" s="56"/>
      <c r="I206" s="63"/>
      <c r="J206" s="150"/>
    </row>
    <row r="207" spans="1:10" ht="12.75" customHeight="1">
      <c r="A207" s="59" t="s">
        <v>413</v>
      </c>
      <c r="B207" s="60">
        <v>66600371</v>
      </c>
      <c r="C207" s="68"/>
      <c r="D207" s="68"/>
      <c r="E207" s="59" t="s">
        <v>1323</v>
      </c>
      <c r="F207" s="122" t="s">
        <v>444</v>
      </c>
      <c r="G207" s="106" t="s">
        <v>445</v>
      </c>
      <c r="H207" s="56"/>
      <c r="I207" s="63"/>
      <c r="J207" s="56"/>
    </row>
    <row r="208" spans="1:10" ht="12.75" customHeight="1">
      <c r="A208" s="59" t="s">
        <v>442</v>
      </c>
      <c r="B208" s="60"/>
      <c r="C208" s="60">
        <v>241000020</v>
      </c>
      <c r="D208" s="59"/>
      <c r="E208" s="59" t="s">
        <v>443</v>
      </c>
      <c r="F208" s="69" t="s">
        <v>444</v>
      </c>
      <c r="G208" s="59" t="s">
        <v>445</v>
      </c>
      <c r="H208" s="56">
        <v>198</v>
      </c>
      <c r="I208" s="63"/>
      <c r="J208" s="66"/>
    </row>
    <row r="209" spans="1:10" ht="12.75" customHeight="1">
      <c r="A209" s="59" t="s">
        <v>442</v>
      </c>
      <c r="B209" s="60"/>
      <c r="C209" s="60">
        <v>241000021</v>
      </c>
      <c r="D209" s="59"/>
      <c r="E209" s="59" t="s">
        <v>446</v>
      </c>
      <c r="F209" s="69" t="s">
        <v>444</v>
      </c>
      <c r="G209" s="59" t="s">
        <v>445</v>
      </c>
      <c r="H209" s="56">
        <v>442</v>
      </c>
      <c r="I209" s="63"/>
      <c r="J209" s="66"/>
    </row>
    <row r="210" spans="1:10" ht="12.75" customHeight="1">
      <c r="A210" s="59" t="s">
        <v>550</v>
      </c>
      <c r="B210" s="59"/>
      <c r="C210" s="60">
        <v>241000250</v>
      </c>
      <c r="D210" s="59"/>
      <c r="E210" s="59" t="s">
        <v>784</v>
      </c>
      <c r="F210" s="64" t="s">
        <v>431</v>
      </c>
      <c r="G210" s="59" t="s">
        <v>432</v>
      </c>
      <c r="H210" s="56"/>
      <c r="I210" s="63"/>
      <c r="J210" s="143"/>
    </row>
    <row r="211" spans="1:10" ht="12.75" customHeight="1">
      <c r="A211" s="68" t="s">
        <v>630</v>
      </c>
      <c r="B211" s="60">
        <v>50110249</v>
      </c>
      <c r="C211" s="128"/>
      <c r="D211" s="68"/>
      <c r="E211" s="59" t="s">
        <v>1128</v>
      </c>
      <c r="F211" s="80" t="s">
        <v>431</v>
      </c>
      <c r="G211" s="106" t="s">
        <v>620</v>
      </c>
      <c r="H211" s="56"/>
      <c r="I211" s="63"/>
      <c r="J211" s="56"/>
    </row>
    <row r="212" spans="1:10" ht="12.75" customHeight="1">
      <c r="A212" s="68" t="s">
        <v>418</v>
      </c>
      <c r="B212" s="68">
        <v>50110227</v>
      </c>
      <c r="C212" s="68"/>
      <c r="D212" s="68" t="s">
        <v>1121</v>
      </c>
      <c r="E212" s="68" t="s">
        <v>1122</v>
      </c>
      <c r="F212" s="80" t="s">
        <v>431</v>
      </c>
      <c r="G212" s="106" t="s">
        <v>432</v>
      </c>
      <c r="H212" s="56"/>
      <c r="I212" s="63"/>
      <c r="J212" s="56"/>
    </row>
    <row r="213" spans="1:10" ht="12.75" customHeight="1">
      <c r="A213" s="68" t="s">
        <v>418</v>
      </c>
      <c r="B213" s="68">
        <v>40000055</v>
      </c>
      <c r="C213" s="68"/>
      <c r="D213" s="68" t="s">
        <v>994</v>
      </c>
      <c r="E213" s="68" t="s">
        <v>995</v>
      </c>
      <c r="F213" s="80" t="s">
        <v>431</v>
      </c>
      <c r="G213" s="106" t="s">
        <v>432</v>
      </c>
      <c r="H213" s="56">
        <v>5</v>
      </c>
      <c r="I213" s="63"/>
      <c r="J213" s="66" t="s">
        <v>996</v>
      </c>
    </row>
    <row r="214" spans="1:10" ht="12.75" customHeight="1">
      <c r="A214" s="68" t="s">
        <v>630</v>
      </c>
      <c r="B214" s="60">
        <v>50110225</v>
      </c>
      <c r="C214" s="68"/>
      <c r="D214" s="68"/>
      <c r="E214" s="59" t="s">
        <v>1118</v>
      </c>
      <c r="F214" s="80" t="s">
        <v>431</v>
      </c>
      <c r="G214" s="106" t="s">
        <v>620</v>
      </c>
      <c r="H214" s="56"/>
      <c r="I214" s="63"/>
      <c r="J214" s="56"/>
    </row>
    <row r="215" spans="1:10" ht="12.75" customHeight="1">
      <c r="A215" s="68" t="s">
        <v>418</v>
      </c>
      <c r="B215" s="68">
        <v>50110276</v>
      </c>
      <c r="C215" s="68"/>
      <c r="D215" s="68" t="s">
        <v>1140</v>
      </c>
      <c r="E215" s="68" t="s">
        <v>1141</v>
      </c>
      <c r="F215" s="80" t="s">
        <v>431</v>
      </c>
      <c r="G215" s="106" t="s">
        <v>606</v>
      </c>
      <c r="H215" s="56"/>
      <c r="I215" s="63"/>
      <c r="J215" s="56"/>
    </row>
    <row r="216" spans="1:10" ht="12.75" customHeight="1">
      <c r="A216" s="68" t="s">
        <v>418</v>
      </c>
      <c r="B216" s="68">
        <v>50110226</v>
      </c>
      <c r="C216" s="68"/>
      <c r="D216" s="68" t="s">
        <v>1119</v>
      </c>
      <c r="E216" s="68" t="s">
        <v>1120</v>
      </c>
      <c r="F216" s="80" t="s">
        <v>431</v>
      </c>
      <c r="G216" s="106" t="s">
        <v>432</v>
      </c>
      <c r="H216" s="56">
        <v>5</v>
      </c>
      <c r="I216" s="63"/>
      <c r="J216" s="66"/>
    </row>
    <row r="217" spans="1:10" ht="12.75" customHeight="1">
      <c r="A217" s="59" t="s">
        <v>418</v>
      </c>
      <c r="B217" s="59"/>
      <c r="C217" s="60">
        <v>241000252</v>
      </c>
      <c r="D217" s="59"/>
      <c r="E217" s="59" t="s">
        <v>786</v>
      </c>
      <c r="F217" s="64" t="s">
        <v>431</v>
      </c>
      <c r="G217" s="59" t="s">
        <v>432</v>
      </c>
      <c r="H217" s="56"/>
      <c r="I217" s="63"/>
      <c r="J217" s="143"/>
    </row>
    <row r="218" spans="1:10" ht="12.75" customHeight="1">
      <c r="A218" s="68" t="s">
        <v>418</v>
      </c>
      <c r="B218" s="60">
        <v>50110228</v>
      </c>
      <c r="C218" s="68"/>
      <c r="D218" s="68"/>
      <c r="E218" s="59" t="s">
        <v>1123</v>
      </c>
      <c r="F218" s="80" t="s">
        <v>431</v>
      </c>
      <c r="G218" s="106" t="s">
        <v>620</v>
      </c>
      <c r="H218" s="56"/>
      <c r="I218" s="63"/>
      <c r="J218" s="56"/>
    </row>
    <row r="219" spans="1:10" ht="12.75" customHeight="1">
      <c r="A219" s="68" t="s">
        <v>480</v>
      </c>
      <c r="B219" s="68">
        <v>50111049</v>
      </c>
      <c r="C219" s="68"/>
      <c r="D219" s="68" t="s">
        <v>1193</v>
      </c>
      <c r="E219" s="68" t="s">
        <v>1194</v>
      </c>
      <c r="F219" s="64" t="s">
        <v>431</v>
      </c>
      <c r="G219" s="59" t="s">
        <v>432</v>
      </c>
      <c r="H219" s="56">
        <v>4</v>
      </c>
      <c r="I219" s="63"/>
      <c r="J219" s="56" t="s">
        <v>996</v>
      </c>
    </row>
    <row r="220" spans="1:10" ht="12.75" customHeight="1">
      <c r="A220" s="68" t="s">
        <v>480</v>
      </c>
      <c r="B220" s="68">
        <v>50111402</v>
      </c>
      <c r="C220" s="68"/>
      <c r="D220" s="68" t="s">
        <v>1222</v>
      </c>
      <c r="E220" s="68" t="s">
        <v>1223</v>
      </c>
      <c r="F220" s="80" t="s">
        <v>431</v>
      </c>
      <c r="G220" s="59" t="s">
        <v>478</v>
      </c>
      <c r="H220" s="56"/>
      <c r="I220" s="64">
        <v>1</v>
      </c>
      <c r="J220" s="56"/>
    </row>
    <row r="221" spans="1:10" ht="12.75" customHeight="1">
      <c r="A221" s="59" t="s">
        <v>418</v>
      </c>
      <c r="B221" s="60"/>
      <c r="C221" s="60">
        <v>241000086</v>
      </c>
      <c r="D221" s="59"/>
      <c r="E221" s="59" t="s">
        <v>540</v>
      </c>
      <c r="F221" s="64" t="s">
        <v>431</v>
      </c>
      <c r="G221" s="59" t="s">
        <v>432</v>
      </c>
      <c r="H221" s="56">
        <v>28</v>
      </c>
      <c r="I221" s="64"/>
      <c r="J221" s="56"/>
    </row>
    <row r="222" spans="1:10" ht="12.75" customHeight="1">
      <c r="A222" s="68" t="s">
        <v>418</v>
      </c>
      <c r="B222" s="68">
        <v>50110856</v>
      </c>
      <c r="C222" s="68"/>
      <c r="D222" s="68" t="s">
        <v>1181</v>
      </c>
      <c r="E222" s="68" t="s">
        <v>1182</v>
      </c>
      <c r="F222" s="80" t="s">
        <v>431</v>
      </c>
      <c r="G222" s="106" t="s">
        <v>478</v>
      </c>
      <c r="H222" s="56">
        <v>14</v>
      </c>
      <c r="I222" s="64"/>
      <c r="J222" s="56"/>
    </row>
    <row r="223" spans="1:10" ht="12.75" customHeight="1">
      <c r="A223" s="59" t="s">
        <v>399</v>
      </c>
      <c r="B223" s="59"/>
      <c r="C223" s="60">
        <v>241000254</v>
      </c>
      <c r="D223" s="59"/>
      <c r="E223" s="58" t="s">
        <v>788</v>
      </c>
      <c r="F223" s="64" t="s">
        <v>431</v>
      </c>
      <c r="G223" s="59" t="s">
        <v>432</v>
      </c>
      <c r="H223" s="56"/>
      <c r="I223" s="64"/>
      <c r="J223" s="143"/>
    </row>
    <row r="224" spans="1:10" ht="12.75" customHeight="1">
      <c r="A224" s="59" t="s">
        <v>418</v>
      </c>
      <c r="B224" s="60"/>
      <c r="C224" s="60">
        <v>241000015</v>
      </c>
      <c r="D224" s="59"/>
      <c r="E224" s="59" t="s">
        <v>430</v>
      </c>
      <c r="F224" s="64" t="s">
        <v>431</v>
      </c>
      <c r="G224" s="59" t="s">
        <v>432</v>
      </c>
      <c r="H224" s="56">
        <v>1</v>
      </c>
      <c r="I224" s="64"/>
      <c r="J224" s="66"/>
    </row>
    <row r="225" spans="1:10" ht="12.75" customHeight="1">
      <c r="A225" s="68" t="s">
        <v>418</v>
      </c>
      <c r="B225" s="60">
        <v>50110235</v>
      </c>
      <c r="C225" s="68"/>
      <c r="D225" s="68"/>
      <c r="E225" s="59" t="s">
        <v>1126</v>
      </c>
      <c r="F225" s="80" t="s">
        <v>431</v>
      </c>
      <c r="G225" s="106" t="s">
        <v>620</v>
      </c>
      <c r="H225" s="56"/>
      <c r="I225" s="64"/>
      <c r="J225" s="56"/>
    </row>
    <row r="226" spans="1:10" ht="12.75" customHeight="1">
      <c r="A226" s="59" t="s">
        <v>418</v>
      </c>
      <c r="B226" s="59"/>
      <c r="C226" s="60">
        <v>241000285</v>
      </c>
      <c r="D226" s="59"/>
      <c r="E226" s="59" t="s">
        <v>833</v>
      </c>
      <c r="F226" s="64" t="s">
        <v>431</v>
      </c>
      <c r="G226" s="59" t="s">
        <v>825</v>
      </c>
      <c r="H226" s="56"/>
      <c r="I226" s="64"/>
      <c r="J226" s="143"/>
    </row>
    <row r="227" spans="1:10" ht="12.75" customHeight="1">
      <c r="A227" s="59" t="s">
        <v>399</v>
      </c>
      <c r="B227" s="59"/>
      <c r="C227" s="60">
        <v>241000218</v>
      </c>
      <c r="D227" s="59"/>
      <c r="E227" s="59" t="s">
        <v>736</v>
      </c>
      <c r="F227" s="64" t="s">
        <v>737</v>
      </c>
      <c r="G227" s="59" t="s">
        <v>478</v>
      </c>
      <c r="H227" s="56">
        <v>12</v>
      </c>
      <c r="I227" s="64"/>
      <c r="J227" s="66" t="s">
        <v>671</v>
      </c>
    </row>
    <row r="228" spans="1:10" ht="12.75" customHeight="1">
      <c r="A228" s="68" t="s">
        <v>418</v>
      </c>
      <c r="B228" s="60">
        <v>50110236</v>
      </c>
      <c r="C228" s="68"/>
      <c r="D228" s="68"/>
      <c r="E228" s="59" t="s">
        <v>736</v>
      </c>
      <c r="F228" s="80" t="s">
        <v>431</v>
      </c>
      <c r="G228" s="106" t="s">
        <v>620</v>
      </c>
      <c r="H228" s="56"/>
      <c r="I228" s="64"/>
      <c r="J228" s="56"/>
    </row>
    <row r="229" spans="1:10" ht="12.75" customHeight="1">
      <c r="A229" s="68" t="s">
        <v>399</v>
      </c>
      <c r="B229" s="68">
        <v>50110236</v>
      </c>
      <c r="C229" s="68"/>
      <c r="D229" s="68" t="s">
        <v>1093</v>
      </c>
      <c r="E229" s="68" t="s">
        <v>1127</v>
      </c>
      <c r="F229" s="80" t="s">
        <v>431</v>
      </c>
      <c r="G229" s="106" t="s">
        <v>478</v>
      </c>
      <c r="H229" s="56">
        <v>5</v>
      </c>
      <c r="I229" s="64"/>
      <c r="J229" s="152" t="s">
        <v>996</v>
      </c>
    </row>
    <row r="230" spans="1:10" ht="12.75" customHeight="1">
      <c r="A230" s="59" t="s">
        <v>399</v>
      </c>
      <c r="B230" s="59"/>
      <c r="C230" s="60">
        <v>241000247</v>
      </c>
      <c r="D230" s="59"/>
      <c r="E230" s="59" t="s">
        <v>778</v>
      </c>
      <c r="F230" s="64" t="s">
        <v>779</v>
      </c>
      <c r="G230" s="59" t="s">
        <v>780</v>
      </c>
      <c r="H230" s="56"/>
      <c r="I230" s="86"/>
      <c r="J230" s="87"/>
    </row>
    <row r="231" spans="1:10" ht="12.75" customHeight="1">
      <c r="A231" s="59" t="s">
        <v>550</v>
      </c>
      <c r="B231" s="60"/>
      <c r="C231" s="60">
        <v>241000106</v>
      </c>
      <c r="D231" s="59"/>
      <c r="E231" s="68" t="s">
        <v>563</v>
      </c>
      <c r="F231" s="64" t="s">
        <v>431</v>
      </c>
      <c r="G231" s="59" t="s">
        <v>478</v>
      </c>
      <c r="H231" s="56">
        <v>6</v>
      </c>
      <c r="I231" s="86"/>
      <c r="J231" s="144" t="s">
        <v>527</v>
      </c>
    </row>
    <row r="232" spans="1:10" ht="12.75" customHeight="1">
      <c r="A232" s="68" t="s">
        <v>418</v>
      </c>
      <c r="B232" s="60">
        <v>50110325</v>
      </c>
      <c r="C232" s="68"/>
      <c r="D232" s="68"/>
      <c r="E232" s="59" t="s">
        <v>1165</v>
      </c>
      <c r="F232" s="80" t="s">
        <v>431</v>
      </c>
      <c r="G232" s="106" t="s">
        <v>482</v>
      </c>
      <c r="H232" s="56"/>
      <c r="I232" s="86"/>
      <c r="J232" s="144" t="s">
        <v>1166</v>
      </c>
    </row>
    <row r="233" spans="1:10" ht="12.75" customHeight="1">
      <c r="A233" s="68" t="s">
        <v>418</v>
      </c>
      <c r="B233" s="60">
        <v>50110324</v>
      </c>
      <c r="C233" s="68"/>
      <c r="D233" s="68"/>
      <c r="E233" s="59" t="s">
        <v>1164</v>
      </c>
      <c r="F233" s="80" t="s">
        <v>431</v>
      </c>
      <c r="G233" s="106" t="s">
        <v>620</v>
      </c>
      <c r="H233" s="56">
        <v>6</v>
      </c>
      <c r="I233" s="86"/>
      <c r="J233" s="144"/>
    </row>
    <row r="234" spans="1:10" ht="12.75" customHeight="1">
      <c r="A234" s="68" t="s">
        <v>418</v>
      </c>
      <c r="B234" s="68">
        <v>50110216</v>
      </c>
      <c r="C234" s="68"/>
      <c r="D234" s="68" t="s">
        <v>1116</v>
      </c>
      <c r="E234" s="68" t="s">
        <v>1117</v>
      </c>
      <c r="F234" s="80" t="s">
        <v>381</v>
      </c>
      <c r="G234" s="106" t="s">
        <v>482</v>
      </c>
      <c r="H234" s="56">
        <v>29</v>
      </c>
      <c r="I234" s="86"/>
      <c r="J234" s="144"/>
    </row>
    <row r="235" spans="1:10" ht="12.75" customHeight="1">
      <c r="A235" s="68" t="s">
        <v>418</v>
      </c>
      <c r="B235" s="68">
        <v>50110857</v>
      </c>
      <c r="C235" s="68"/>
      <c r="D235" s="68" t="s">
        <v>1183</v>
      </c>
      <c r="E235" s="68" t="s">
        <v>1184</v>
      </c>
      <c r="F235" s="80" t="s">
        <v>381</v>
      </c>
      <c r="G235" s="106" t="s">
        <v>482</v>
      </c>
      <c r="H235" s="56">
        <v>15</v>
      </c>
      <c r="I235" s="86"/>
      <c r="J235" s="144"/>
    </row>
    <row r="236" spans="1:10" ht="12.75" customHeight="1">
      <c r="A236" s="59" t="s">
        <v>399</v>
      </c>
      <c r="B236" s="59"/>
      <c r="C236" s="60">
        <v>241000249</v>
      </c>
      <c r="D236" s="59"/>
      <c r="E236" s="59" t="s">
        <v>783</v>
      </c>
      <c r="F236" s="64" t="s">
        <v>381</v>
      </c>
      <c r="G236" s="59" t="s">
        <v>402</v>
      </c>
      <c r="H236" s="56"/>
      <c r="I236" s="86"/>
      <c r="J236" s="88"/>
    </row>
    <row r="237" spans="1:10" ht="12.75" customHeight="1">
      <c r="A237" s="68" t="s">
        <v>480</v>
      </c>
      <c r="B237" s="68">
        <v>50113304</v>
      </c>
      <c r="C237" s="68"/>
      <c r="D237" s="68"/>
      <c r="E237" s="68" t="s">
        <v>1263</v>
      </c>
      <c r="F237" s="80" t="s">
        <v>381</v>
      </c>
      <c r="G237" s="106" t="s">
        <v>482</v>
      </c>
      <c r="H237" s="56">
        <v>10</v>
      </c>
      <c r="I237" s="86"/>
      <c r="J237" s="144" t="s">
        <v>996</v>
      </c>
    </row>
    <row r="238" spans="1:10" ht="12.75" customHeight="1">
      <c r="A238" s="68" t="s">
        <v>418</v>
      </c>
      <c r="B238" s="60">
        <v>50113368</v>
      </c>
      <c r="C238" s="68"/>
      <c r="D238" s="68"/>
      <c r="E238" s="68" t="s">
        <v>1268</v>
      </c>
      <c r="F238" s="80" t="s">
        <v>381</v>
      </c>
      <c r="G238" s="106" t="s">
        <v>1269</v>
      </c>
      <c r="H238" s="56"/>
      <c r="I238" s="86"/>
      <c r="J238" s="107"/>
    </row>
    <row r="239" spans="1:10" ht="12.75" customHeight="1">
      <c r="A239" s="59" t="s">
        <v>418</v>
      </c>
      <c r="B239" s="59"/>
      <c r="C239" s="60">
        <v>241000310</v>
      </c>
      <c r="D239" s="59"/>
      <c r="E239" s="131" t="s">
        <v>868</v>
      </c>
      <c r="F239" s="64" t="s">
        <v>381</v>
      </c>
      <c r="G239" s="59"/>
      <c r="H239" s="56"/>
      <c r="I239" s="86"/>
      <c r="J239" s="88"/>
    </row>
    <row r="240" spans="1:10" ht="12.75" customHeight="1">
      <c r="A240" s="59" t="s">
        <v>418</v>
      </c>
      <c r="B240" s="60"/>
      <c r="C240" s="60">
        <v>241000088</v>
      </c>
      <c r="D240" s="59"/>
      <c r="E240" s="59" t="s">
        <v>542</v>
      </c>
      <c r="F240" s="64" t="s">
        <v>381</v>
      </c>
      <c r="G240" s="59" t="s">
        <v>482</v>
      </c>
      <c r="H240" s="56">
        <v>1</v>
      </c>
      <c r="I240" s="86"/>
      <c r="J240" s="107"/>
    </row>
    <row r="241" spans="1:10" ht="12.75" customHeight="1">
      <c r="A241" s="68" t="s">
        <v>550</v>
      </c>
      <c r="B241" s="68">
        <v>50110293</v>
      </c>
      <c r="C241" s="68"/>
      <c r="D241" s="68" t="s">
        <v>1143</v>
      </c>
      <c r="E241" s="68" t="s">
        <v>1144</v>
      </c>
      <c r="F241" s="64" t="s">
        <v>381</v>
      </c>
      <c r="G241" s="59" t="s">
        <v>482</v>
      </c>
      <c r="H241" s="56">
        <v>14</v>
      </c>
      <c r="I241" s="86"/>
      <c r="J241" s="144"/>
    </row>
    <row r="242" spans="1:10" ht="12.75" customHeight="1">
      <c r="A242" s="68" t="s">
        <v>630</v>
      </c>
      <c r="B242" s="68">
        <v>50110109</v>
      </c>
      <c r="C242" s="68"/>
      <c r="D242" s="68" t="s">
        <v>1034</v>
      </c>
      <c r="E242" s="68" t="s">
        <v>1085</v>
      </c>
      <c r="F242" s="80" t="s">
        <v>381</v>
      </c>
      <c r="G242" s="106" t="s">
        <v>1000</v>
      </c>
      <c r="H242" s="56"/>
      <c r="I242" s="86"/>
      <c r="J242" s="144"/>
    </row>
    <row r="243" spans="1:10" ht="12.75" customHeight="1">
      <c r="A243" s="68" t="s">
        <v>418</v>
      </c>
      <c r="B243" s="68">
        <v>50110186</v>
      </c>
      <c r="C243" s="68"/>
      <c r="D243" s="68" t="s">
        <v>1102</v>
      </c>
      <c r="E243" s="68" t="s">
        <v>1103</v>
      </c>
      <c r="F243" s="64" t="s">
        <v>381</v>
      </c>
      <c r="G243" s="59" t="s">
        <v>482</v>
      </c>
      <c r="H243" s="56"/>
      <c r="I243" s="86"/>
      <c r="J243" s="107"/>
    </row>
    <row r="244" spans="1:10" ht="12.75" customHeight="1">
      <c r="A244" s="59" t="s">
        <v>418</v>
      </c>
      <c r="B244" s="59"/>
      <c r="C244" s="60">
        <v>241000211</v>
      </c>
      <c r="D244" s="59"/>
      <c r="E244" s="59" t="s">
        <v>727</v>
      </c>
      <c r="F244" s="64" t="s">
        <v>381</v>
      </c>
      <c r="G244" s="59" t="s">
        <v>402</v>
      </c>
      <c r="H244" s="56">
        <v>10</v>
      </c>
      <c r="I244" s="86"/>
      <c r="J244" s="107" t="s">
        <v>671</v>
      </c>
    </row>
    <row r="245" spans="1:10" ht="12.75" customHeight="1">
      <c r="A245" s="59" t="s">
        <v>418</v>
      </c>
      <c r="B245" s="59"/>
      <c r="C245" s="60">
        <v>241000212</v>
      </c>
      <c r="D245" s="59"/>
      <c r="E245" s="59" t="s">
        <v>728</v>
      </c>
      <c r="F245" s="64" t="s">
        <v>381</v>
      </c>
      <c r="G245" s="59" t="s">
        <v>402</v>
      </c>
      <c r="H245" s="56">
        <v>6</v>
      </c>
      <c r="I245" s="86"/>
      <c r="J245" s="107" t="s">
        <v>671</v>
      </c>
    </row>
    <row r="246" spans="1:10" ht="12.75" customHeight="1">
      <c r="A246" s="68" t="s">
        <v>418</v>
      </c>
      <c r="B246" s="68">
        <v>50113352</v>
      </c>
      <c r="C246" s="68"/>
      <c r="D246" s="68" t="s">
        <v>1121</v>
      </c>
      <c r="E246" s="68" t="s">
        <v>1264</v>
      </c>
      <c r="F246" s="80" t="s">
        <v>381</v>
      </c>
      <c r="G246" s="106" t="s">
        <v>402</v>
      </c>
      <c r="H246" s="56">
        <v>7</v>
      </c>
      <c r="I246" s="86"/>
      <c r="J246" s="107" t="s">
        <v>1258</v>
      </c>
    </row>
    <row r="247" spans="1:10" ht="12.75" customHeight="1">
      <c r="A247" s="68" t="s">
        <v>418</v>
      </c>
      <c r="B247" s="68">
        <v>50113358</v>
      </c>
      <c r="C247" s="68"/>
      <c r="D247" s="68" t="s">
        <v>994</v>
      </c>
      <c r="E247" s="68" t="s">
        <v>1265</v>
      </c>
      <c r="F247" s="80" t="s">
        <v>381</v>
      </c>
      <c r="G247" s="106" t="s">
        <v>402</v>
      </c>
      <c r="H247" s="56">
        <v>27</v>
      </c>
      <c r="I247" s="86"/>
      <c r="J247" s="107" t="s">
        <v>1258</v>
      </c>
    </row>
    <row r="248" spans="1:10" ht="12.75" customHeight="1">
      <c r="A248" s="59" t="s">
        <v>630</v>
      </c>
      <c r="B248" s="59"/>
      <c r="C248" s="60">
        <v>241000232</v>
      </c>
      <c r="D248" s="59"/>
      <c r="E248" s="59" t="s">
        <v>756</v>
      </c>
      <c r="F248" s="64" t="s">
        <v>381</v>
      </c>
      <c r="G248" s="59" t="s">
        <v>757</v>
      </c>
      <c r="H248" s="56"/>
      <c r="I248" s="86"/>
      <c r="J248" s="88"/>
    </row>
    <row r="249" spans="1:10" ht="12.75" customHeight="1">
      <c r="A249" s="68" t="s">
        <v>418</v>
      </c>
      <c r="B249" s="68">
        <v>50111269</v>
      </c>
      <c r="C249" s="68"/>
      <c r="D249" s="68" t="s">
        <v>1217</v>
      </c>
      <c r="E249" s="68" t="s">
        <v>1218</v>
      </c>
      <c r="F249" s="80" t="s">
        <v>381</v>
      </c>
      <c r="G249" s="106" t="s">
        <v>606</v>
      </c>
      <c r="H249" s="56"/>
      <c r="I249" s="86"/>
      <c r="J249" s="107"/>
    </row>
    <row r="250" spans="1:10" ht="12.75" customHeight="1">
      <c r="A250" s="68" t="s">
        <v>418</v>
      </c>
      <c r="B250" s="68">
        <v>50113362</v>
      </c>
      <c r="C250" s="68"/>
      <c r="D250" s="68" t="s">
        <v>1266</v>
      </c>
      <c r="E250" s="68" t="s">
        <v>1267</v>
      </c>
      <c r="F250" s="80" t="s">
        <v>381</v>
      </c>
      <c r="G250" s="106" t="s">
        <v>402</v>
      </c>
      <c r="H250" s="56">
        <v>13</v>
      </c>
      <c r="I250" s="86"/>
      <c r="J250" s="107" t="s">
        <v>1258</v>
      </c>
    </row>
    <row r="251" spans="1:10" ht="12.75" customHeight="1">
      <c r="A251" s="59" t="s">
        <v>418</v>
      </c>
      <c r="B251" s="59"/>
      <c r="C251" s="60">
        <v>241000132</v>
      </c>
      <c r="D251" s="59"/>
      <c r="E251" s="68" t="s">
        <v>593</v>
      </c>
      <c r="F251" s="64" t="s">
        <v>587</v>
      </c>
      <c r="G251" s="59" t="s">
        <v>416</v>
      </c>
      <c r="H251" s="56"/>
      <c r="I251" s="86"/>
      <c r="J251" s="107"/>
    </row>
    <row r="252" spans="1:10" ht="12.75" customHeight="1">
      <c r="A252" s="59" t="s">
        <v>550</v>
      </c>
      <c r="B252" s="59"/>
      <c r="C252" s="60">
        <v>241000251</v>
      </c>
      <c r="D252" s="59"/>
      <c r="E252" s="59" t="s">
        <v>785</v>
      </c>
      <c r="F252" s="64" t="s">
        <v>381</v>
      </c>
      <c r="G252" s="59" t="s">
        <v>402</v>
      </c>
      <c r="H252" s="56"/>
      <c r="I252" s="86"/>
      <c r="J252" s="88"/>
    </row>
    <row r="253" spans="1:10" ht="12.75" customHeight="1">
      <c r="A253" s="59" t="s">
        <v>480</v>
      </c>
      <c r="B253" s="59"/>
      <c r="C253" s="60">
        <v>241000129</v>
      </c>
      <c r="D253" s="59"/>
      <c r="E253" s="60" t="s">
        <v>589</v>
      </c>
      <c r="F253" s="64" t="s">
        <v>587</v>
      </c>
      <c r="G253" s="59" t="s">
        <v>482</v>
      </c>
      <c r="H253" s="56">
        <v>2</v>
      </c>
      <c r="I253" s="86"/>
      <c r="J253" s="144"/>
    </row>
    <row r="254" spans="1:10" ht="12.75" customHeight="1">
      <c r="A254" s="68" t="s">
        <v>480</v>
      </c>
      <c r="B254" s="68">
        <v>49360062</v>
      </c>
      <c r="C254" s="68"/>
      <c r="D254" s="68" t="s">
        <v>1021</v>
      </c>
      <c r="E254" s="68" t="s">
        <v>1022</v>
      </c>
      <c r="F254" s="80" t="s">
        <v>381</v>
      </c>
      <c r="G254" s="106" t="s">
        <v>482</v>
      </c>
      <c r="H254" s="56">
        <v>94</v>
      </c>
      <c r="I254" s="86"/>
      <c r="J254" s="107" t="s">
        <v>996</v>
      </c>
    </row>
    <row r="255" spans="1:10" ht="12.75" customHeight="1">
      <c r="A255" s="59" t="s">
        <v>480</v>
      </c>
      <c r="B255" s="82"/>
      <c r="C255" s="60">
        <v>241000183</v>
      </c>
      <c r="D255" s="59"/>
      <c r="E255" s="83" t="s">
        <v>670</v>
      </c>
      <c r="F255" s="64" t="s">
        <v>381</v>
      </c>
      <c r="G255" s="59" t="s">
        <v>482</v>
      </c>
      <c r="H255" s="56">
        <v>13</v>
      </c>
      <c r="I255" s="86">
        <v>7</v>
      </c>
      <c r="J255" s="144" t="s">
        <v>671</v>
      </c>
    </row>
    <row r="256" spans="1:10" ht="12.75" customHeight="1">
      <c r="A256" s="59" t="s">
        <v>480</v>
      </c>
      <c r="B256" s="59"/>
      <c r="C256" s="60">
        <v>241000184</v>
      </c>
      <c r="D256" s="59"/>
      <c r="E256" s="59" t="s">
        <v>672</v>
      </c>
      <c r="F256" s="64" t="s">
        <v>381</v>
      </c>
      <c r="G256" s="59" t="s">
        <v>482</v>
      </c>
      <c r="H256" s="56">
        <v>89</v>
      </c>
      <c r="I256" s="86">
        <v>34</v>
      </c>
      <c r="J256" s="144" t="s">
        <v>673</v>
      </c>
    </row>
    <row r="257" spans="1:10" ht="12.75" customHeight="1">
      <c r="A257" s="59" t="s">
        <v>480</v>
      </c>
      <c r="B257" s="60"/>
      <c r="C257" s="60">
        <v>241000042</v>
      </c>
      <c r="D257" s="59"/>
      <c r="E257" s="59" t="s">
        <v>484</v>
      </c>
      <c r="F257" s="64" t="s">
        <v>381</v>
      </c>
      <c r="G257" s="59" t="s">
        <v>482</v>
      </c>
      <c r="H257" s="56">
        <v>4</v>
      </c>
      <c r="I257" s="86"/>
      <c r="J257" s="144"/>
    </row>
    <row r="258" spans="1:10" ht="12.75" customHeight="1">
      <c r="A258" s="59" t="s">
        <v>480</v>
      </c>
      <c r="B258" s="59"/>
      <c r="C258" s="60">
        <v>241000126</v>
      </c>
      <c r="D258" s="59"/>
      <c r="E258" s="68" t="s">
        <v>586</v>
      </c>
      <c r="F258" s="64" t="s">
        <v>587</v>
      </c>
      <c r="G258" s="59" t="s">
        <v>428</v>
      </c>
      <c r="H258" s="56"/>
      <c r="I258" s="86">
        <v>7</v>
      </c>
      <c r="J258" s="144"/>
    </row>
    <row r="259" spans="1:10" ht="12.75" customHeight="1">
      <c r="A259" s="59" t="s">
        <v>480</v>
      </c>
      <c r="B259" s="60"/>
      <c r="C259" s="60">
        <v>241000089</v>
      </c>
      <c r="D259" s="59"/>
      <c r="E259" s="59" t="s">
        <v>543</v>
      </c>
      <c r="F259" s="64" t="s">
        <v>381</v>
      </c>
      <c r="G259" s="59" t="s">
        <v>482</v>
      </c>
      <c r="H259" s="56">
        <v>2</v>
      </c>
      <c r="I259" s="86"/>
      <c r="J259" s="144"/>
    </row>
    <row r="260" spans="1:10" ht="12.75" customHeight="1">
      <c r="A260" s="59" t="s">
        <v>480</v>
      </c>
      <c r="B260" s="59"/>
      <c r="C260" s="60">
        <v>241000133</v>
      </c>
      <c r="D260" s="59"/>
      <c r="E260" s="59" t="s">
        <v>543</v>
      </c>
      <c r="F260" s="64" t="s">
        <v>587</v>
      </c>
      <c r="G260" s="59" t="s">
        <v>482</v>
      </c>
      <c r="H260" s="56"/>
      <c r="I260" s="86"/>
      <c r="J260" s="144"/>
    </row>
    <row r="261" spans="1:10" ht="12.75" customHeight="1">
      <c r="A261" s="59" t="s">
        <v>480</v>
      </c>
      <c r="B261" s="60"/>
      <c r="C261" s="60">
        <v>241000040</v>
      </c>
      <c r="D261" s="59"/>
      <c r="E261" s="59" t="s">
        <v>481</v>
      </c>
      <c r="F261" s="64" t="s">
        <v>381</v>
      </c>
      <c r="G261" s="59" t="s">
        <v>482</v>
      </c>
      <c r="H261" s="56">
        <v>4</v>
      </c>
      <c r="I261" s="86"/>
      <c r="J261" s="144"/>
    </row>
    <row r="262" spans="1:10" ht="12.75" customHeight="1">
      <c r="A262" s="59" t="s">
        <v>480</v>
      </c>
      <c r="B262" s="59"/>
      <c r="C262" s="60">
        <v>241000127</v>
      </c>
      <c r="D262" s="59"/>
      <c r="E262" s="60" t="s">
        <v>588</v>
      </c>
      <c r="F262" s="64" t="s">
        <v>587</v>
      </c>
      <c r="G262" s="59" t="s">
        <v>482</v>
      </c>
      <c r="H262" s="56"/>
      <c r="I262" s="86"/>
      <c r="J262" s="144"/>
    </row>
    <row r="263" spans="1:10" ht="12.75" customHeight="1">
      <c r="A263" s="59" t="s">
        <v>480</v>
      </c>
      <c r="B263" s="60"/>
      <c r="C263" s="60">
        <v>241000041</v>
      </c>
      <c r="D263" s="59"/>
      <c r="E263" s="59" t="s">
        <v>483</v>
      </c>
      <c r="F263" s="64" t="s">
        <v>381</v>
      </c>
      <c r="G263" s="59" t="s">
        <v>482</v>
      </c>
      <c r="H263" s="56">
        <v>7</v>
      </c>
      <c r="I263" s="86"/>
      <c r="J263" s="144"/>
    </row>
    <row r="264" spans="1:10" ht="12.75" customHeight="1">
      <c r="A264" s="59" t="s">
        <v>480</v>
      </c>
      <c r="B264" s="59"/>
      <c r="C264" s="60">
        <v>241000128</v>
      </c>
      <c r="D264" s="59"/>
      <c r="E264" s="60" t="s">
        <v>483</v>
      </c>
      <c r="F264" s="64" t="s">
        <v>587</v>
      </c>
      <c r="G264" s="59" t="s">
        <v>482</v>
      </c>
      <c r="H264" s="56">
        <v>7</v>
      </c>
      <c r="I264" s="86">
        <v>2</v>
      </c>
      <c r="J264" s="144"/>
    </row>
    <row r="265" spans="1:10" ht="12.75" customHeight="1">
      <c r="A265" s="59" t="s">
        <v>480</v>
      </c>
      <c r="B265" s="59"/>
      <c r="C265" s="60">
        <v>241000179</v>
      </c>
      <c r="D265" s="59"/>
      <c r="E265" s="59" t="s">
        <v>662</v>
      </c>
      <c r="F265" s="64" t="s">
        <v>381</v>
      </c>
      <c r="G265" s="59" t="s">
        <v>482</v>
      </c>
      <c r="H265" s="56">
        <v>11</v>
      </c>
      <c r="I265" s="86">
        <v>4</v>
      </c>
      <c r="J265" s="144"/>
    </row>
    <row r="266" spans="1:10" ht="12.75" customHeight="1">
      <c r="A266" s="68" t="s">
        <v>480</v>
      </c>
      <c r="B266" s="68">
        <v>50111401</v>
      </c>
      <c r="C266" s="68"/>
      <c r="D266" s="68" t="s">
        <v>1221</v>
      </c>
      <c r="E266" s="68" t="s">
        <v>662</v>
      </c>
      <c r="F266" s="80" t="s">
        <v>381</v>
      </c>
      <c r="G266" s="106" t="s">
        <v>482</v>
      </c>
      <c r="H266" s="56">
        <v>1</v>
      </c>
      <c r="I266" s="86"/>
      <c r="J266" s="144"/>
    </row>
    <row r="267" spans="1:10" ht="12.75" customHeight="1">
      <c r="A267" s="59" t="s">
        <v>480</v>
      </c>
      <c r="B267" s="59"/>
      <c r="C267" s="60">
        <v>241000130</v>
      </c>
      <c r="D267" s="59"/>
      <c r="E267" s="60" t="s">
        <v>590</v>
      </c>
      <c r="F267" s="64" t="s">
        <v>587</v>
      </c>
      <c r="G267" s="59" t="s">
        <v>482</v>
      </c>
      <c r="H267" s="56">
        <v>2</v>
      </c>
      <c r="I267" s="86">
        <v>12</v>
      </c>
      <c r="J267" s="144" t="s">
        <v>591</v>
      </c>
    </row>
    <row r="268" spans="1:10" ht="12.75" customHeight="1">
      <c r="A268" s="59" t="s">
        <v>418</v>
      </c>
      <c r="B268" s="59"/>
      <c r="C268" s="60">
        <v>241000131</v>
      </c>
      <c r="D268" s="59"/>
      <c r="E268" s="68" t="s">
        <v>592</v>
      </c>
      <c r="F268" s="64" t="s">
        <v>587</v>
      </c>
      <c r="G268" s="59" t="s">
        <v>402</v>
      </c>
      <c r="H268" s="56"/>
      <c r="I268" s="86"/>
      <c r="J268" s="107"/>
    </row>
    <row r="269" spans="1:10" ht="12.75" customHeight="1">
      <c r="A269" s="68" t="s">
        <v>480</v>
      </c>
      <c r="B269" s="68">
        <v>50111400</v>
      </c>
      <c r="C269" s="68"/>
      <c r="D269" s="68" t="s">
        <v>1219</v>
      </c>
      <c r="E269" s="68" t="s">
        <v>1220</v>
      </c>
      <c r="F269" s="80" t="s">
        <v>381</v>
      </c>
      <c r="G269" s="106" t="s">
        <v>482</v>
      </c>
      <c r="H269" s="56">
        <v>1</v>
      </c>
      <c r="I269" s="86">
        <v>4</v>
      </c>
      <c r="J269" s="144"/>
    </row>
    <row r="270" spans="1:10" ht="12.75" customHeight="1">
      <c r="A270" s="68" t="s">
        <v>418</v>
      </c>
      <c r="B270" s="68">
        <v>50110858</v>
      </c>
      <c r="C270" s="68"/>
      <c r="D270" s="68" t="s">
        <v>1185</v>
      </c>
      <c r="E270" s="68" t="s">
        <v>1186</v>
      </c>
      <c r="F270" s="80" t="s">
        <v>381</v>
      </c>
      <c r="G270" s="106" t="s">
        <v>482</v>
      </c>
      <c r="H270" s="56">
        <v>6</v>
      </c>
      <c r="I270" s="86"/>
      <c r="J270" s="144"/>
    </row>
    <row r="271" spans="1:10" ht="12.75" customHeight="1">
      <c r="A271" s="59" t="s">
        <v>418</v>
      </c>
      <c r="B271" s="59"/>
      <c r="C271" s="60">
        <v>241000253</v>
      </c>
      <c r="D271" s="59"/>
      <c r="E271" s="59" t="s">
        <v>787</v>
      </c>
      <c r="F271" s="64" t="s">
        <v>381</v>
      </c>
      <c r="G271" s="59" t="s">
        <v>402</v>
      </c>
      <c r="H271" s="56"/>
      <c r="I271" s="86"/>
      <c r="J271" s="88"/>
    </row>
    <row r="272" spans="1:10" ht="12.75" customHeight="1">
      <c r="A272" s="59" t="s">
        <v>418</v>
      </c>
      <c r="B272" s="60"/>
      <c r="C272" s="60">
        <v>241000014</v>
      </c>
      <c r="D272" s="59"/>
      <c r="E272" s="59" t="s">
        <v>427</v>
      </c>
      <c r="F272" s="64" t="s">
        <v>381</v>
      </c>
      <c r="G272" s="59" t="s">
        <v>428</v>
      </c>
      <c r="H272" s="56">
        <v>3</v>
      </c>
      <c r="I272" s="86"/>
      <c r="J272" s="107" t="s">
        <v>429</v>
      </c>
    </row>
    <row r="273" spans="1:10" ht="12.75" customHeight="1">
      <c r="A273" s="68" t="s">
        <v>418</v>
      </c>
      <c r="B273" s="68">
        <v>40000047</v>
      </c>
      <c r="C273" s="68"/>
      <c r="D273" s="68" t="s">
        <v>990</v>
      </c>
      <c r="E273" s="68" t="s">
        <v>991</v>
      </c>
      <c r="F273" s="80" t="s">
        <v>381</v>
      </c>
      <c r="G273" s="106" t="s">
        <v>482</v>
      </c>
      <c r="H273" s="56"/>
      <c r="I273" s="86"/>
      <c r="J273" s="107"/>
    </row>
    <row r="274" spans="1:10" ht="12.75" customHeight="1">
      <c r="A274" s="59" t="s">
        <v>684</v>
      </c>
      <c r="B274" s="59"/>
      <c r="C274" s="60">
        <v>241000321</v>
      </c>
      <c r="D274" s="59"/>
      <c r="E274" s="59" t="s">
        <v>893</v>
      </c>
      <c r="F274" s="64" t="s">
        <v>381</v>
      </c>
      <c r="G274" s="60" t="s">
        <v>809</v>
      </c>
      <c r="H274" s="56"/>
      <c r="I274" s="86"/>
      <c r="J274" s="91"/>
    </row>
    <row r="275" spans="1:10" ht="12.75" customHeight="1">
      <c r="A275" s="59" t="s">
        <v>418</v>
      </c>
      <c r="B275" s="59"/>
      <c r="C275" s="60">
        <v>241000210</v>
      </c>
      <c r="D275" s="59"/>
      <c r="E275" s="59" t="s">
        <v>726</v>
      </c>
      <c r="F275" s="64" t="s">
        <v>587</v>
      </c>
      <c r="G275" s="59" t="s">
        <v>402</v>
      </c>
      <c r="H275" s="56">
        <v>13</v>
      </c>
      <c r="I275" s="86"/>
      <c r="J275" s="107" t="s">
        <v>671</v>
      </c>
    </row>
    <row r="276" spans="1:10" ht="12.75" customHeight="1">
      <c r="A276" s="68" t="s">
        <v>399</v>
      </c>
      <c r="B276" s="68">
        <v>50110110</v>
      </c>
      <c r="C276" s="68"/>
      <c r="D276" s="68" t="s">
        <v>1086</v>
      </c>
      <c r="E276" s="68" t="s">
        <v>1087</v>
      </c>
      <c r="F276" s="80" t="s">
        <v>381</v>
      </c>
      <c r="G276" s="106" t="s">
        <v>482</v>
      </c>
      <c r="H276" s="56">
        <v>52</v>
      </c>
      <c r="I276" s="86"/>
      <c r="J276" s="144"/>
    </row>
    <row r="277" spans="1:10" ht="12.75" customHeight="1">
      <c r="A277" s="68" t="s">
        <v>399</v>
      </c>
      <c r="B277" s="68">
        <v>40000048</v>
      </c>
      <c r="C277" s="68"/>
      <c r="D277" s="68" t="s">
        <v>992</v>
      </c>
      <c r="E277" s="68" t="s">
        <v>993</v>
      </c>
      <c r="F277" s="80" t="s">
        <v>381</v>
      </c>
      <c r="G277" s="106" t="s">
        <v>482</v>
      </c>
      <c r="H277" s="56">
        <v>23</v>
      </c>
      <c r="I277" s="86"/>
      <c r="J277" s="107"/>
    </row>
    <row r="278" spans="1:10" ht="12.75" customHeight="1">
      <c r="A278" s="59" t="s">
        <v>399</v>
      </c>
      <c r="B278" s="60"/>
      <c r="C278" s="60">
        <v>49360061</v>
      </c>
      <c r="D278" s="59"/>
      <c r="E278" s="59" t="s">
        <v>400</v>
      </c>
      <c r="F278" s="61" t="s">
        <v>401</v>
      </c>
      <c r="G278" s="60" t="s">
        <v>402</v>
      </c>
      <c r="H278" s="56">
        <v>23</v>
      </c>
      <c r="I278" s="86"/>
      <c r="J278" s="144"/>
    </row>
    <row r="279" spans="1:10" ht="12.75" customHeight="1">
      <c r="A279" s="59" t="s">
        <v>550</v>
      </c>
      <c r="B279" s="60"/>
      <c r="C279" s="60">
        <v>241000105</v>
      </c>
      <c r="D279" s="59"/>
      <c r="E279" s="68" t="s">
        <v>562</v>
      </c>
      <c r="F279" s="64" t="s">
        <v>381</v>
      </c>
      <c r="G279" s="59" t="s">
        <v>482</v>
      </c>
      <c r="H279" s="56"/>
      <c r="I279" s="86"/>
      <c r="J279" s="144"/>
    </row>
    <row r="280" spans="1:10" ht="12.75" customHeight="1">
      <c r="A280" s="59" t="s">
        <v>399</v>
      </c>
      <c r="B280" s="59"/>
      <c r="C280" s="60">
        <v>241000201</v>
      </c>
      <c r="D280" s="59"/>
      <c r="E280" s="59" t="s">
        <v>705</v>
      </c>
      <c r="F280" s="64" t="s">
        <v>699</v>
      </c>
      <c r="G280" s="59" t="s">
        <v>402</v>
      </c>
      <c r="H280" s="56">
        <v>48</v>
      </c>
      <c r="I280" s="86"/>
      <c r="J280" s="107" t="s">
        <v>706</v>
      </c>
    </row>
    <row r="281" spans="1:10" ht="12.75" customHeight="1">
      <c r="A281" s="59" t="s">
        <v>796</v>
      </c>
      <c r="B281" s="59"/>
      <c r="C281" s="60">
        <v>241000332</v>
      </c>
      <c r="D281" s="59"/>
      <c r="E281" s="59" t="s">
        <v>908</v>
      </c>
      <c r="F281" s="64" t="s">
        <v>909</v>
      </c>
      <c r="G281" s="60" t="s">
        <v>421</v>
      </c>
      <c r="H281" s="56"/>
      <c r="I281" s="86"/>
      <c r="J281" s="91"/>
    </row>
    <row r="282" spans="1:10" ht="12.75" customHeight="1">
      <c r="A282" s="68" t="s">
        <v>796</v>
      </c>
      <c r="B282" s="68">
        <v>40000056</v>
      </c>
      <c r="C282" s="68"/>
      <c r="D282" s="68" t="s">
        <v>998</v>
      </c>
      <c r="E282" s="68" t="s">
        <v>999</v>
      </c>
      <c r="F282" s="80" t="s">
        <v>61</v>
      </c>
      <c r="G282" s="106" t="s">
        <v>1000</v>
      </c>
      <c r="H282" s="56"/>
      <c r="I282" s="86"/>
      <c r="J282" s="107"/>
    </row>
    <row r="283" spans="1:10" ht="12.75" customHeight="1">
      <c r="A283" s="59" t="s">
        <v>690</v>
      </c>
      <c r="B283" s="59"/>
      <c r="C283" s="60">
        <v>241000193</v>
      </c>
      <c r="D283" s="59"/>
      <c r="E283" s="59" t="s">
        <v>691</v>
      </c>
      <c r="F283" s="64" t="s">
        <v>692</v>
      </c>
      <c r="G283" s="60" t="s">
        <v>693</v>
      </c>
      <c r="H283" s="56"/>
      <c r="I283" s="86"/>
      <c r="J283" s="144"/>
    </row>
    <row r="284" spans="1:10" ht="12.75" customHeight="1">
      <c r="A284" s="68" t="s">
        <v>663</v>
      </c>
      <c r="B284" s="60">
        <v>50110796</v>
      </c>
      <c r="C284" s="68"/>
      <c r="D284" s="68"/>
      <c r="E284" s="59" t="s">
        <v>1167</v>
      </c>
      <c r="F284" s="80" t="s">
        <v>1168</v>
      </c>
      <c r="G284" s="106" t="s">
        <v>437</v>
      </c>
      <c r="H284" s="56"/>
      <c r="I284" s="86"/>
      <c r="J284" s="144" t="s">
        <v>1169</v>
      </c>
    </row>
    <row r="285" spans="1:10" ht="12.75" customHeight="1">
      <c r="A285" s="68" t="s">
        <v>663</v>
      </c>
      <c r="B285" s="68">
        <v>50110201</v>
      </c>
      <c r="C285" s="68"/>
      <c r="D285" s="68" t="s">
        <v>1109</v>
      </c>
      <c r="E285" s="68" t="s">
        <v>1110</v>
      </c>
      <c r="F285" s="64" t="s">
        <v>1111</v>
      </c>
      <c r="G285" s="106" t="s">
        <v>1000</v>
      </c>
      <c r="H285" s="56">
        <v>201</v>
      </c>
      <c r="I285" s="86"/>
      <c r="J285" s="144"/>
    </row>
    <row r="286" spans="1:10" ht="12.75" customHeight="1">
      <c r="A286" s="59" t="s">
        <v>663</v>
      </c>
      <c r="B286" s="82"/>
      <c r="C286" s="60">
        <v>241000181</v>
      </c>
      <c r="D286" s="59"/>
      <c r="E286" s="83" t="s">
        <v>667</v>
      </c>
      <c r="F286" s="64" t="s">
        <v>668</v>
      </c>
      <c r="G286" s="59" t="s">
        <v>666</v>
      </c>
      <c r="H286" s="56"/>
      <c r="I286" s="86"/>
      <c r="J286" s="144"/>
    </row>
    <row r="287" spans="1:10" ht="12.75" customHeight="1">
      <c r="A287" s="68" t="s">
        <v>663</v>
      </c>
      <c r="B287" s="60">
        <v>50110798</v>
      </c>
      <c r="C287" s="68"/>
      <c r="D287" s="68"/>
      <c r="E287" s="59" t="s">
        <v>1173</v>
      </c>
      <c r="F287" s="80" t="s">
        <v>1174</v>
      </c>
      <c r="G287" s="106" t="s">
        <v>1000</v>
      </c>
      <c r="H287" s="56"/>
      <c r="I287" s="86"/>
      <c r="J287" s="144"/>
    </row>
    <row r="288" spans="1:10" ht="12.75" customHeight="1">
      <c r="A288" s="68" t="s">
        <v>663</v>
      </c>
      <c r="B288" s="60">
        <v>50110801</v>
      </c>
      <c r="C288" s="68"/>
      <c r="D288" s="68"/>
      <c r="E288" s="59" t="s">
        <v>1175</v>
      </c>
      <c r="F288" s="80" t="s">
        <v>1174</v>
      </c>
      <c r="G288" s="106" t="s">
        <v>1000</v>
      </c>
      <c r="H288" s="56"/>
      <c r="I288" s="86"/>
      <c r="J288" s="144"/>
    </row>
    <row r="289" spans="1:10" ht="12.75" customHeight="1">
      <c r="A289" s="68" t="s">
        <v>663</v>
      </c>
      <c r="B289" s="68">
        <v>50110803</v>
      </c>
      <c r="C289" s="68"/>
      <c r="D289" s="68" t="s">
        <v>1176</v>
      </c>
      <c r="E289" s="68" t="s">
        <v>1177</v>
      </c>
      <c r="F289" s="64" t="s">
        <v>1111</v>
      </c>
      <c r="G289" s="106" t="s">
        <v>1000</v>
      </c>
      <c r="H289" s="56"/>
      <c r="I289" s="86"/>
      <c r="J289" s="144"/>
    </row>
    <row r="290" spans="1:10" ht="12.75" customHeight="1">
      <c r="A290" s="68" t="s">
        <v>663</v>
      </c>
      <c r="B290" s="60">
        <v>50110200</v>
      </c>
      <c r="C290" s="68"/>
      <c r="D290" s="68"/>
      <c r="E290" s="59" t="s">
        <v>1106</v>
      </c>
      <c r="F290" s="80" t="s">
        <v>1107</v>
      </c>
      <c r="G290" s="106" t="s">
        <v>437</v>
      </c>
      <c r="H290" s="56"/>
      <c r="I290" s="86"/>
      <c r="J290" s="144" t="s">
        <v>1108</v>
      </c>
    </row>
    <row r="291" spans="1:10" ht="12.75" customHeight="1">
      <c r="A291" s="59" t="s">
        <v>663</v>
      </c>
      <c r="B291" s="59"/>
      <c r="C291" s="60">
        <v>241000180</v>
      </c>
      <c r="D291" s="59"/>
      <c r="E291" s="59" t="s">
        <v>664</v>
      </c>
      <c r="F291" s="64" t="s">
        <v>665</v>
      </c>
      <c r="G291" s="59" t="s">
        <v>666</v>
      </c>
      <c r="H291" s="56"/>
      <c r="I291" s="86"/>
      <c r="J291" s="144"/>
    </row>
    <row r="292" spans="1:10" ht="12.75" customHeight="1">
      <c r="A292" s="108" t="s">
        <v>663</v>
      </c>
      <c r="B292" s="108">
        <v>50110808</v>
      </c>
      <c r="C292" s="108"/>
      <c r="D292" s="108" t="s">
        <v>1176</v>
      </c>
      <c r="E292" s="108" t="s">
        <v>1178</v>
      </c>
      <c r="F292" s="74" t="s">
        <v>1111</v>
      </c>
      <c r="G292" s="110" t="s">
        <v>1000</v>
      </c>
      <c r="H292" s="76"/>
      <c r="I292" s="92"/>
      <c r="J292" s="147" t="s">
        <v>979</v>
      </c>
    </row>
    <row r="293" spans="1:10" ht="12.75" customHeight="1">
      <c r="A293" s="59" t="s">
        <v>663</v>
      </c>
      <c r="B293" s="59"/>
      <c r="C293" s="60">
        <v>241000359</v>
      </c>
      <c r="D293" s="59"/>
      <c r="E293" s="59" t="s">
        <v>953</v>
      </c>
      <c r="F293" s="64"/>
      <c r="G293" s="60"/>
      <c r="H293" s="56"/>
      <c r="I293" s="86"/>
      <c r="J293" s="91" t="s">
        <v>954</v>
      </c>
    </row>
    <row r="294" spans="1:10" ht="12.75" customHeight="1">
      <c r="A294" s="59" t="s">
        <v>796</v>
      </c>
      <c r="B294" s="59"/>
      <c r="C294" s="60">
        <v>241000334</v>
      </c>
      <c r="D294" s="59"/>
      <c r="E294" s="59" t="s">
        <v>912</v>
      </c>
      <c r="F294" s="64" t="s">
        <v>913</v>
      </c>
      <c r="G294" s="60"/>
      <c r="H294" s="56"/>
      <c r="I294" s="86"/>
      <c r="J294" s="91"/>
    </row>
    <row r="295" spans="1:10" ht="12.75" customHeight="1">
      <c r="A295" s="59" t="s">
        <v>796</v>
      </c>
      <c r="B295" s="59"/>
      <c r="C295" s="60">
        <v>241000333</v>
      </c>
      <c r="D295" s="59"/>
      <c r="E295" s="59" t="s">
        <v>910</v>
      </c>
      <c r="F295" s="64" t="s">
        <v>911</v>
      </c>
      <c r="G295" s="60"/>
      <c r="H295" s="56"/>
      <c r="I295" s="86"/>
      <c r="J295" s="91"/>
    </row>
    <row r="296" spans="1:10" ht="12.75" customHeight="1">
      <c r="A296" s="108" t="s">
        <v>796</v>
      </c>
      <c r="B296" s="108">
        <v>50110232</v>
      </c>
      <c r="C296" s="108"/>
      <c r="D296" s="108" t="s">
        <v>1124</v>
      </c>
      <c r="E296" s="108" t="s">
        <v>1125</v>
      </c>
      <c r="F296" s="109" t="s">
        <v>59</v>
      </c>
      <c r="G296" s="110" t="s">
        <v>1000</v>
      </c>
      <c r="H296" s="76"/>
      <c r="I296" s="92"/>
      <c r="J296" s="147" t="s">
        <v>979</v>
      </c>
    </row>
    <row r="297" spans="1:10" ht="12.75" customHeight="1">
      <c r="A297" s="59" t="s">
        <v>796</v>
      </c>
      <c r="B297" s="59"/>
      <c r="C297" s="60">
        <v>240000122</v>
      </c>
      <c r="D297" s="59" t="s">
        <v>797</v>
      </c>
      <c r="E297" s="59" t="s">
        <v>798</v>
      </c>
      <c r="F297" s="64" t="s">
        <v>59</v>
      </c>
      <c r="G297" s="59" t="s">
        <v>799</v>
      </c>
      <c r="H297" s="56"/>
      <c r="I297" s="86"/>
      <c r="J297" s="88"/>
    </row>
    <row r="298" spans="1:10" ht="12.75" customHeight="1">
      <c r="A298" s="68" t="s">
        <v>413</v>
      </c>
      <c r="B298" s="68">
        <v>40260077</v>
      </c>
      <c r="C298" s="68"/>
      <c r="D298" s="68" t="s">
        <v>1001</v>
      </c>
      <c r="E298" s="68" t="s">
        <v>1002</v>
      </c>
      <c r="F298" s="112" t="s">
        <v>850</v>
      </c>
      <c r="G298" s="113" t="s">
        <v>1003</v>
      </c>
      <c r="H298" s="55">
        <v>729</v>
      </c>
      <c r="I298" s="140"/>
      <c r="J298" s="145"/>
    </row>
    <row r="299" spans="1:10" ht="12.75" customHeight="1">
      <c r="A299" s="59" t="s">
        <v>796</v>
      </c>
      <c r="B299" s="59"/>
      <c r="C299" s="60">
        <v>241000313</v>
      </c>
      <c r="D299" s="59"/>
      <c r="E299" s="59" t="s">
        <v>877</v>
      </c>
      <c r="F299" s="64" t="s">
        <v>878</v>
      </c>
      <c r="G299" s="59" t="s">
        <v>799</v>
      </c>
      <c r="H299" s="56"/>
      <c r="I299" s="86"/>
      <c r="J299" s="90" t="s">
        <v>879</v>
      </c>
    </row>
    <row r="300" spans="1:10" ht="12.75" customHeight="1">
      <c r="A300" s="59" t="s">
        <v>435</v>
      </c>
      <c r="B300" s="59"/>
      <c r="C300" s="60">
        <v>241000261</v>
      </c>
      <c r="D300" s="59"/>
      <c r="E300" s="59" t="s">
        <v>801</v>
      </c>
      <c r="F300" s="64" t="s">
        <v>186</v>
      </c>
      <c r="G300" s="59" t="s">
        <v>799</v>
      </c>
      <c r="H300" s="56"/>
      <c r="I300" s="86"/>
      <c r="J300" s="88"/>
    </row>
    <row r="301" spans="1:10" ht="12.75" customHeight="1">
      <c r="A301" s="59" t="s">
        <v>418</v>
      </c>
      <c r="B301" s="59"/>
      <c r="C301" s="60">
        <v>241000326</v>
      </c>
      <c r="D301" s="59"/>
      <c r="E301" s="81" t="s">
        <v>900</v>
      </c>
      <c r="F301" s="94" t="s">
        <v>186</v>
      </c>
      <c r="G301" s="93" t="s">
        <v>775</v>
      </c>
      <c r="H301" s="56"/>
      <c r="I301" s="86"/>
      <c r="J301" s="91"/>
    </row>
    <row r="302" spans="1:10" ht="12.75" customHeight="1">
      <c r="A302" s="59" t="s">
        <v>903</v>
      </c>
      <c r="B302" s="59"/>
      <c r="C302" s="60">
        <v>241000343</v>
      </c>
      <c r="D302" s="59"/>
      <c r="E302" s="59" t="s">
        <v>926</v>
      </c>
      <c r="F302" s="64" t="s">
        <v>434</v>
      </c>
      <c r="G302" s="60"/>
      <c r="H302" s="56"/>
      <c r="I302" s="86"/>
      <c r="J302" s="91" t="s">
        <v>927</v>
      </c>
    </row>
    <row r="303" spans="1:10" ht="12.75" customHeight="1">
      <c r="A303" s="59" t="s">
        <v>550</v>
      </c>
      <c r="B303" s="59"/>
      <c r="C303" s="60">
        <v>241000257</v>
      </c>
      <c r="D303" s="59"/>
      <c r="E303" s="59" t="s">
        <v>793</v>
      </c>
      <c r="F303" s="64" t="s">
        <v>186</v>
      </c>
      <c r="G303" s="59" t="s">
        <v>791</v>
      </c>
      <c r="H303" s="56"/>
      <c r="I303" s="86"/>
      <c r="J303" s="88"/>
    </row>
    <row r="304" spans="1:10" ht="12.75" customHeight="1">
      <c r="A304" s="59" t="s">
        <v>418</v>
      </c>
      <c r="B304" s="59"/>
      <c r="C304" s="60">
        <v>241000327</v>
      </c>
      <c r="D304" s="59"/>
      <c r="E304" s="81" t="s">
        <v>901</v>
      </c>
      <c r="F304" s="94" t="s">
        <v>186</v>
      </c>
      <c r="G304" s="93" t="s">
        <v>775</v>
      </c>
      <c r="H304" s="56"/>
      <c r="I304" s="86"/>
      <c r="J304" s="91"/>
    </row>
    <row r="305" spans="1:10" ht="12.75" customHeight="1">
      <c r="A305" s="59" t="s">
        <v>418</v>
      </c>
      <c r="B305" s="59"/>
      <c r="C305" s="60">
        <v>241000325</v>
      </c>
      <c r="D305" s="59"/>
      <c r="E305" s="81" t="s">
        <v>899</v>
      </c>
      <c r="F305" s="94" t="s">
        <v>186</v>
      </c>
      <c r="G305" s="93" t="s">
        <v>814</v>
      </c>
      <c r="H305" s="56"/>
      <c r="I305" s="86"/>
      <c r="J305" s="91"/>
    </row>
    <row r="306" spans="1:10" ht="12.75" customHeight="1">
      <c r="A306" s="59" t="s">
        <v>418</v>
      </c>
      <c r="B306" s="59"/>
      <c r="C306" s="60">
        <v>241000324</v>
      </c>
      <c r="D306" s="59"/>
      <c r="E306" s="84" t="s">
        <v>898</v>
      </c>
      <c r="F306" s="135" t="s">
        <v>186</v>
      </c>
      <c r="G306" s="93" t="s">
        <v>814</v>
      </c>
      <c r="H306" s="56"/>
      <c r="I306" s="86"/>
      <c r="J306" s="91"/>
    </row>
    <row r="307" spans="1:10" ht="12.75" customHeight="1">
      <c r="A307" s="59" t="s">
        <v>630</v>
      </c>
      <c r="B307" s="59"/>
      <c r="C307" s="60">
        <v>241000323</v>
      </c>
      <c r="D307" s="59"/>
      <c r="E307" s="59" t="s">
        <v>896</v>
      </c>
      <c r="F307" s="64" t="s">
        <v>186</v>
      </c>
      <c r="G307" s="137" t="s">
        <v>897</v>
      </c>
      <c r="H307" s="56"/>
      <c r="I307" s="86"/>
      <c r="J307" s="91"/>
    </row>
    <row r="308" spans="1:10" ht="12.75" customHeight="1">
      <c r="A308" s="59" t="s">
        <v>418</v>
      </c>
      <c r="B308" s="59"/>
      <c r="C308" s="60">
        <v>241000270</v>
      </c>
      <c r="D308" s="59"/>
      <c r="E308" s="59" t="s">
        <v>813</v>
      </c>
      <c r="F308" s="64" t="s">
        <v>186</v>
      </c>
      <c r="G308" s="59" t="s">
        <v>814</v>
      </c>
      <c r="H308" s="56"/>
      <c r="I308" s="86"/>
      <c r="J308" s="88"/>
    </row>
    <row r="309" spans="1:10" ht="12.75" customHeight="1">
      <c r="A309" s="59" t="s">
        <v>550</v>
      </c>
      <c r="B309" s="59"/>
      <c r="C309" s="60">
        <v>241000202</v>
      </c>
      <c r="D309" s="59"/>
      <c r="E309" s="59" t="s">
        <v>707</v>
      </c>
      <c r="F309" s="64" t="s">
        <v>708</v>
      </c>
      <c r="G309" s="59" t="s">
        <v>478</v>
      </c>
      <c r="H309" s="56">
        <v>11</v>
      </c>
      <c r="I309" s="86"/>
      <c r="J309" s="144" t="s">
        <v>655</v>
      </c>
    </row>
    <row r="310" spans="1:10" ht="12.75" customHeight="1">
      <c r="A310" s="59" t="s">
        <v>630</v>
      </c>
      <c r="B310" s="82"/>
      <c r="C310" s="60">
        <v>241000182</v>
      </c>
      <c r="D310" s="59"/>
      <c r="E310" s="83" t="s">
        <v>669</v>
      </c>
      <c r="F310" s="64" t="s">
        <v>186</v>
      </c>
      <c r="G310" s="59" t="s">
        <v>666</v>
      </c>
      <c r="H310" s="56"/>
      <c r="I310" s="86"/>
      <c r="J310" s="144"/>
    </row>
    <row r="311" spans="1:10" ht="12.75" customHeight="1">
      <c r="A311" s="59" t="s">
        <v>418</v>
      </c>
      <c r="B311" s="60"/>
      <c r="C311" s="60">
        <v>241000079</v>
      </c>
      <c r="D311" s="59"/>
      <c r="E311" s="59" t="s">
        <v>531</v>
      </c>
      <c r="F311" s="64" t="s">
        <v>186</v>
      </c>
      <c r="G311" s="59" t="s">
        <v>478</v>
      </c>
      <c r="H311" s="56">
        <v>22</v>
      </c>
      <c r="I311" s="86"/>
      <c r="J311" s="144"/>
    </row>
    <row r="312" spans="1:10" ht="12.75" customHeight="1">
      <c r="A312" s="59" t="s">
        <v>630</v>
      </c>
      <c r="B312" s="60">
        <v>66600407</v>
      </c>
      <c r="C312" s="68"/>
      <c r="D312" s="68"/>
      <c r="E312" s="128" t="s">
        <v>1326</v>
      </c>
      <c r="F312" s="80" t="s">
        <v>186</v>
      </c>
      <c r="G312" s="106" t="s">
        <v>620</v>
      </c>
      <c r="H312" s="56"/>
      <c r="I312" s="86"/>
      <c r="J312" s="144"/>
    </row>
    <row r="313" spans="1:10" ht="12.75" customHeight="1">
      <c r="A313" s="59" t="s">
        <v>418</v>
      </c>
      <c r="B313" s="60"/>
      <c r="C313" s="60">
        <v>241000084</v>
      </c>
      <c r="D313" s="59"/>
      <c r="E313" s="68" t="s">
        <v>537</v>
      </c>
      <c r="F313" s="64" t="s">
        <v>186</v>
      </c>
      <c r="G313" s="59" t="s">
        <v>432</v>
      </c>
      <c r="H313" s="56">
        <v>6</v>
      </c>
      <c r="I313" s="86"/>
      <c r="J313" s="144" t="s">
        <v>538</v>
      </c>
    </row>
    <row r="314" spans="1:10" ht="12.75" customHeight="1">
      <c r="A314" s="59" t="s">
        <v>418</v>
      </c>
      <c r="B314" s="60"/>
      <c r="C314" s="60">
        <v>241000085</v>
      </c>
      <c r="D314" s="59"/>
      <c r="E314" s="68" t="s">
        <v>539</v>
      </c>
      <c r="F314" s="64" t="s">
        <v>186</v>
      </c>
      <c r="G314" s="59" t="s">
        <v>432</v>
      </c>
      <c r="H314" s="56"/>
      <c r="I314" s="86"/>
      <c r="J314" s="144"/>
    </row>
    <row r="315" spans="1:10" ht="12.75" customHeight="1">
      <c r="A315" s="59" t="s">
        <v>418</v>
      </c>
      <c r="B315" s="60"/>
      <c r="C315" s="60">
        <v>241000083</v>
      </c>
      <c r="D315" s="59"/>
      <c r="E315" s="68" t="s">
        <v>536</v>
      </c>
      <c r="F315" s="64" t="s">
        <v>186</v>
      </c>
      <c r="G315" s="59" t="s">
        <v>432</v>
      </c>
      <c r="H315" s="56">
        <v>9</v>
      </c>
      <c r="I315" s="86"/>
      <c r="J315" s="144"/>
    </row>
    <row r="316" spans="1:10" ht="12.75" customHeight="1">
      <c r="A316" s="59" t="s">
        <v>418</v>
      </c>
      <c r="B316" s="59"/>
      <c r="C316" s="60">
        <v>241000258</v>
      </c>
      <c r="D316" s="59"/>
      <c r="E316" s="59" t="s">
        <v>794</v>
      </c>
      <c r="F316" s="64" t="s">
        <v>186</v>
      </c>
      <c r="G316" s="59" t="s">
        <v>791</v>
      </c>
      <c r="H316" s="56"/>
      <c r="I316" s="86"/>
      <c r="J316" s="88"/>
    </row>
    <row r="317" spans="1:10" ht="12.75" customHeight="1">
      <c r="A317" s="59" t="s">
        <v>480</v>
      </c>
      <c r="B317" s="60"/>
      <c r="C317" s="60">
        <v>241000073</v>
      </c>
      <c r="D317" s="59"/>
      <c r="E317" s="59" t="s">
        <v>524</v>
      </c>
      <c r="F317" s="64" t="s">
        <v>186</v>
      </c>
      <c r="G317" s="59" t="s">
        <v>478</v>
      </c>
      <c r="H317" s="56">
        <v>2</v>
      </c>
      <c r="I317" s="86"/>
      <c r="J317" s="144"/>
    </row>
    <row r="318" spans="1:10" ht="12.75" customHeight="1">
      <c r="A318" s="59" t="s">
        <v>480</v>
      </c>
      <c r="B318" s="60"/>
      <c r="C318" s="60">
        <v>241000092</v>
      </c>
      <c r="D318" s="59"/>
      <c r="E318" s="59" t="s">
        <v>546</v>
      </c>
      <c r="F318" s="64" t="s">
        <v>186</v>
      </c>
      <c r="G318" s="59" t="s">
        <v>478</v>
      </c>
      <c r="H318" s="56">
        <v>25</v>
      </c>
      <c r="I318" s="86"/>
      <c r="J318" s="144" t="s">
        <v>527</v>
      </c>
    </row>
    <row r="319" spans="1:10" ht="12.75" customHeight="1">
      <c r="A319" s="59" t="s">
        <v>480</v>
      </c>
      <c r="B319" s="60"/>
      <c r="C319" s="60">
        <v>241000075</v>
      </c>
      <c r="D319" s="59"/>
      <c r="E319" s="59" t="s">
        <v>526</v>
      </c>
      <c r="F319" s="64" t="s">
        <v>186</v>
      </c>
      <c r="G319" s="59" t="s">
        <v>478</v>
      </c>
      <c r="H319" s="56">
        <v>10</v>
      </c>
      <c r="I319" s="86"/>
      <c r="J319" s="144" t="s">
        <v>527</v>
      </c>
    </row>
    <row r="320" spans="1:10" ht="12.75" customHeight="1">
      <c r="A320" s="59" t="s">
        <v>480</v>
      </c>
      <c r="B320" s="60"/>
      <c r="C320" s="60">
        <v>241000093</v>
      </c>
      <c r="D320" s="59"/>
      <c r="E320" s="59" t="s">
        <v>547</v>
      </c>
      <c r="F320" s="64" t="s">
        <v>186</v>
      </c>
      <c r="G320" s="59" t="s">
        <v>478</v>
      </c>
      <c r="H320" s="56">
        <v>30</v>
      </c>
      <c r="I320" s="86"/>
      <c r="J320" s="144" t="s">
        <v>527</v>
      </c>
    </row>
    <row r="321" spans="1:10" ht="12.75" customHeight="1">
      <c r="A321" s="59" t="s">
        <v>480</v>
      </c>
      <c r="B321" s="60"/>
      <c r="C321" s="60">
        <v>241000076</v>
      </c>
      <c r="D321" s="59"/>
      <c r="E321" s="59" t="s">
        <v>528</v>
      </c>
      <c r="F321" s="64" t="s">
        <v>186</v>
      </c>
      <c r="G321" s="59" t="s">
        <v>478</v>
      </c>
      <c r="H321" s="56">
        <v>9</v>
      </c>
      <c r="I321" s="86"/>
      <c r="J321" s="144" t="s">
        <v>527</v>
      </c>
    </row>
    <row r="322" spans="1:10" ht="12.75" customHeight="1">
      <c r="A322" s="60" t="s">
        <v>480</v>
      </c>
      <c r="B322" s="59"/>
      <c r="C322" s="60">
        <v>241000198</v>
      </c>
      <c r="D322" s="59"/>
      <c r="E322" s="84" t="s">
        <v>702</v>
      </c>
      <c r="F322" s="64" t="s">
        <v>186</v>
      </c>
      <c r="G322" s="60" t="s">
        <v>478</v>
      </c>
      <c r="H322" s="56"/>
      <c r="I322" s="86"/>
      <c r="J322" s="144"/>
    </row>
    <row r="323" spans="1:10" ht="12.75" customHeight="1">
      <c r="A323" s="60" t="s">
        <v>480</v>
      </c>
      <c r="B323" s="59"/>
      <c r="C323" s="60">
        <v>241000197</v>
      </c>
      <c r="D323" s="59"/>
      <c r="E323" s="59" t="s">
        <v>700</v>
      </c>
      <c r="F323" s="64" t="s">
        <v>186</v>
      </c>
      <c r="G323" s="60" t="s">
        <v>701</v>
      </c>
      <c r="H323" s="56"/>
      <c r="I323" s="86"/>
      <c r="J323" s="144"/>
    </row>
    <row r="324" spans="1:10" ht="12.75" customHeight="1">
      <c r="A324" s="58" t="s">
        <v>480</v>
      </c>
      <c r="B324" s="60"/>
      <c r="C324" s="60">
        <v>241000101</v>
      </c>
      <c r="D324" s="59"/>
      <c r="E324" s="59" t="s">
        <v>557</v>
      </c>
      <c r="F324" s="64" t="s">
        <v>186</v>
      </c>
      <c r="G324" s="59" t="s">
        <v>478</v>
      </c>
      <c r="H324" s="56">
        <v>2</v>
      </c>
      <c r="I324" s="86"/>
      <c r="J324" s="144"/>
    </row>
    <row r="325" spans="1:10" ht="12.75" customHeight="1">
      <c r="A325" s="59" t="s">
        <v>418</v>
      </c>
      <c r="B325" s="60"/>
      <c r="C325" s="60">
        <v>241000064</v>
      </c>
      <c r="D325" s="59"/>
      <c r="E325" s="59" t="s">
        <v>513</v>
      </c>
      <c r="F325" s="64" t="s">
        <v>186</v>
      </c>
      <c r="G325" s="138" t="s">
        <v>478</v>
      </c>
      <c r="H325" s="56"/>
      <c r="I325" s="86"/>
      <c r="J325" s="144"/>
    </row>
    <row r="326" spans="1:10" ht="12.75" customHeight="1">
      <c r="A326" s="68" t="s">
        <v>418</v>
      </c>
      <c r="B326" s="60"/>
      <c r="C326" s="60">
        <v>241000175</v>
      </c>
      <c r="D326" s="68"/>
      <c r="E326" s="59" t="s">
        <v>657</v>
      </c>
      <c r="F326" s="136" t="s">
        <v>186</v>
      </c>
      <c r="G326" s="59" t="s">
        <v>478</v>
      </c>
      <c r="H326" s="56"/>
      <c r="I326" s="86"/>
      <c r="J326" s="144" t="s">
        <v>421</v>
      </c>
    </row>
    <row r="327" spans="1:10" ht="12.75" customHeight="1">
      <c r="A327" s="59" t="s">
        <v>480</v>
      </c>
      <c r="B327" s="60"/>
      <c r="C327" s="60">
        <v>241000071</v>
      </c>
      <c r="D327" s="59"/>
      <c r="E327" s="59" t="s">
        <v>522</v>
      </c>
      <c r="F327" s="64" t="s">
        <v>186</v>
      </c>
      <c r="G327" s="59" t="s">
        <v>478</v>
      </c>
      <c r="H327" s="56">
        <v>10</v>
      </c>
      <c r="I327" s="86"/>
      <c r="J327" s="144"/>
    </row>
    <row r="328" spans="1:10" ht="12.75" customHeight="1">
      <c r="A328" s="59" t="s">
        <v>480</v>
      </c>
      <c r="B328" s="60"/>
      <c r="C328" s="60">
        <v>241000072</v>
      </c>
      <c r="D328" s="59"/>
      <c r="E328" s="59" t="s">
        <v>523</v>
      </c>
      <c r="F328" s="64" t="s">
        <v>186</v>
      </c>
      <c r="G328" s="59" t="s">
        <v>478</v>
      </c>
      <c r="H328" s="56">
        <v>1</v>
      </c>
      <c r="I328" s="86"/>
      <c r="J328" s="144"/>
    </row>
    <row r="329" spans="1:10" ht="12.75" customHeight="1">
      <c r="A329" s="59" t="s">
        <v>480</v>
      </c>
      <c r="B329" s="60"/>
      <c r="C329" s="60">
        <v>241000100</v>
      </c>
      <c r="D329" s="59" t="s">
        <v>555</v>
      </c>
      <c r="E329" s="59" t="s">
        <v>556</v>
      </c>
      <c r="F329" s="64" t="s">
        <v>186</v>
      </c>
      <c r="G329" s="59" t="s">
        <v>478</v>
      </c>
      <c r="H329" s="56"/>
      <c r="I329" s="86"/>
      <c r="J329" s="144"/>
    </row>
    <row r="330" spans="1:10" ht="12.75" customHeight="1">
      <c r="A330" s="59" t="s">
        <v>418</v>
      </c>
      <c r="B330" s="60"/>
      <c r="C330" s="60">
        <v>241000082</v>
      </c>
      <c r="D330" s="59"/>
      <c r="E330" s="59" t="s">
        <v>535</v>
      </c>
      <c r="F330" s="64" t="s">
        <v>186</v>
      </c>
      <c r="G330" s="59" t="s">
        <v>432</v>
      </c>
      <c r="H330" s="56">
        <v>2</v>
      </c>
      <c r="I330" s="86"/>
      <c r="J330" s="144"/>
    </row>
    <row r="331" spans="1:10" ht="12.75" customHeight="1">
      <c r="A331" s="59" t="s">
        <v>399</v>
      </c>
      <c r="B331" s="59"/>
      <c r="C331" s="60">
        <v>241000259</v>
      </c>
      <c r="D331" s="59"/>
      <c r="E331" s="59" t="s">
        <v>795</v>
      </c>
      <c r="F331" s="64" t="s">
        <v>186</v>
      </c>
      <c r="G331" s="59" t="s">
        <v>791</v>
      </c>
      <c r="H331" s="56"/>
      <c r="I331" s="86"/>
      <c r="J331" s="88"/>
    </row>
    <row r="332" spans="1:10" ht="12.75" customHeight="1">
      <c r="A332" s="59" t="s">
        <v>947</v>
      </c>
      <c r="B332" s="59"/>
      <c r="C332" s="60">
        <v>241000358</v>
      </c>
      <c r="D332" s="59"/>
      <c r="E332" s="81" t="s">
        <v>952</v>
      </c>
      <c r="F332" s="64"/>
      <c r="G332" s="60"/>
      <c r="H332" s="56"/>
      <c r="I332" s="86"/>
      <c r="J332" s="91"/>
    </row>
    <row r="333" spans="1:10" ht="12.75" customHeight="1">
      <c r="A333" s="59" t="s">
        <v>418</v>
      </c>
      <c r="B333" s="60"/>
      <c r="C333" s="60">
        <v>241000038</v>
      </c>
      <c r="D333" s="59"/>
      <c r="E333" s="59" t="s">
        <v>477</v>
      </c>
      <c r="F333" s="64" t="s">
        <v>186</v>
      </c>
      <c r="G333" s="59" t="s">
        <v>478</v>
      </c>
      <c r="H333" s="56">
        <v>16</v>
      </c>
      <c r="I333" s="86"/>
      <c r="J333" s="107"/>
    </row>
    <row r="334" spans="1:10" ht="12.75" customHeight="1">
      <c r="A334" s="59" t="s">
        <v>418</v>
      </c>
      <c r="B334" s="60"/>
      <c r="C334" s="60">
        <v>241000016</v>
      </c>
      <c r="D334" s="59"/>
      <c r="E334" s="59" t="s">
        <v>433</v>
      </c>
      <c r="F334" s="64" t="s">
        <v>434</v>
      </c>
      <c r="G334" s="59" t="s">
        <v>432</v>
      </c>
      <c r="H334" s="56">
        <v>21</v>
      </c>
      <c r="I334" s="86"/>
      <c r="J334" s="107"/>
    </row>
    <row r="335" spans="1:10" ht="12.75" customHeight="1">
      <c r="A335" s="59" t="s">
        <v>418</v>
      </c>
      <c r="B335" s="60"/>
      <c r="C335" s="60">
        <v>241000074</v>
      </c>
      <c r="D335" s="59"/>
      <c r="E335" s="59" t="s">
        <v>525</v>
      </c>
      <c r="F335" s="64" t="s">
        <v>186</v>
      </c>
      <c r="G335" s="59" t="s">
        <v>478</v>
      </c>
      <c r="H335" s="56"/>
      <c r="I335" s="86"/>
      <c r="J335" s="144"/>
    </row>
    <row r="336" spans="1:10" ht="12.75" customHeight="1">
      <c r="A336" s="59" t="s">
        <v>418</v>
      </c>
      <c r="B336" s="59"/>
      <c r="C336" s="60">
        <v>241000286</v>
      </c>
      <c r="D336" s="59"/>
      <c r="E336" s="59" t="s">
        <v>834</v>
      </c>
      <c r="F336" s="64" t="s">
        <v>186</v>
      </c>
      <c r="G336" s="59" t="s">
        <v>825</v>
      </c>
      <c r="H336" s="56"/>
      <c r="I336" s="86"/>
      <c r="J336" s="88"/>
    </row>
    <row r="337" spans="1:10" ht="12.75" customHeight="1">
      <c r="A337" s="59" t="s">
        <v>399</v>
      </c>
      <c r="B337" s="60"/>
      <c r="C337" s="60">
        <v>241000078</v>
      </c>
      <c r="D337" s="59"/>
      <c r="E337" s="59" t="s">
        <v>530</v>
      </c>
      <c r="F337" s="64" t="s">
        <v>186</v>
      </c>
      <c r="G337" s="59" t="s">
        <v>478</v>
      </c>
      <c r="H337" s="56">
        <v>90</v>
      </c>
      <c r="I337" s="86"/>
      <c r="J337" s="144"/>
    </row>
    <row r="338" spans="1:10" ht="12.75" customHeight="1">
      <c r="A338" s="59" t="s">
        <v>399</v>
      </c>
      <c r="B338" s="59"/>
      <c r="C338" s="60">
        <v>241000195</v>
      </c>
      <c r="D338" s="59"/>
      <c r="E338" s="59" t="s">
        <v>696</v>
      </c>
      <c r="F338" s="64" t="s">
        <v>697</v>
      </c>
      <c r="G338" s="60" t="s">
        <v>482</v>
      </c>
      <c r="H338" s="56">
        <v>40</v>
      </c>
      <c r="I338" s="86"/>
      <c r="J338" s="144" t="s">
        <v>655</v>
      </c>
    </row>
    <row r="339" spans="1:10" ht="12.75" customHeight="1">
      <c r="A339" s="59" t="s">
        <v>399</v>
      </c>
      <c r="B339" s="60"/>
      <c r="C339" s="60">
        <v>241000013</v>
      </c>
      <c r="D339" s="59"/>
      <c r="E339" s="59" t="s">
        <v>425</v>
      </c>
      <c r="F339" s="64" t="s">
        <v>186</v>
      </c>
      <c r="G339" s="59" t="s">
        <v>426</v>
      </c>
      <c r="H339" s="56">
        <v>8</v>
      </c>
      <c r="I339" s="86"/>
      <c r="J339" s="107"/>
    </row>
    <row r="340" spans="1:10" ht="12.75" customHeight="1">
      <c r="A340" s="72" t="s">
        <v>399</v>
      </c>
      <c r="B340" s="73"/>
      <c r="C340" s="73">
        <v>241000081</v>
      </c>
      <c r="D340" s="72"/>
      <c r="E340" s="72" t="s">
        <v>533</v>
      </c>
      <c r="F340" s="74" t="s">
        <v>186</v>
      </c>
      <c r="G340" s="72" t="s">
        <v>432</v>
      </c>
      <c r="H340" s="72" t="s">
        <v>432</v>
      </c>
      <c r="I340" s="92"/>
      <c r="J340" s="147" t="s">
        <v>534</v>
      </c>
    </row>
    <row r="341" spans="1:10" ht="12.75" customHeight="1">
      <c r="A341" s="59" t="s">
        <v>399</v>
      </c>
      <c r="B341" s="60"/>
      <c r="C341" s="60">
        <v>241000077</v>
      </c>
      <c r="D341" s="59"/>
      <c r="E341" s="59" t="s">
        <v>529</v>
      </c>
      <c r="F341" s="64" t="s">
        <v>186</v>
      </c>
      <c r="G341" s="59" t="s">
        <v>478</v>
      </c>
      <c r="H341" s="56">
        <v>0</v>
      </c>
      <c r="I341" s="86"/>
      <c r="J341" s="144"/>
    </row>
    <row r="342" spans="1:10" ht="12.75" customHeight="1">
      <c r="A342" s="59" t="s">
        <v>418</v>
      </c>
      <c r="B342" s="60"/>
      <c r="C342" s="60">
        <v>241000044</v>
      </c>
      <c r="D342" s="59"/>
      <c r="E342" s="59" t="s">
        <v>487</v>
      </c>
      <c r="F342" s="64" t="s">
        <v>186</v>
      </c>
      <c r="G342" s="59" t="s">
        <v>478</v>
      </c>
      <c r="H342" s="56"/>
      <c r="I342" s="86"/>
      <c r="J342" s="144"/>
    </row>
    <row r="343" spans="1:10" ht="12.75" customHeight="1">
      <c r="A343" s="59" t="s">
        <v>399</v>
      </c>
      <c r="B343" s="59"/>
      <c r="C343" s="60">
        <v>241000200</v>
      </c>
      <c r="D343" s="59"/>
      <c r="E343" s="81" t="s">
        <v>487</v>
      </c>
      <c r="F343" s="64" t="s">
        <v>704</v>
      </c>
      <c r="G343" s="59" t="s">
        <v>428</v>
      </c>
      <c r="H343" s="56"/>
      <c r="I343" s="86"/>
      <c r="J343" s="144"/>
    </row>
    <row r="344" spans="1:10" ht="12.75" customHeight="1">
      <c r="A344" s="59" t="s">
        <v>413</v>
      </c>
      <c r="B344" s="60"/>
      <c r="C344" s="60">
        <v>241000098</v>
      </c>
      <c r="D344" s="59"/>
      <c r="E344" s="68" t="s">
        <v>553</v>
      </c>
      <c r="F344" s="64" t="s">
        <v>186</v>
      </c>
      <c r="G344" s="59" t="s">
        <v>416</v>
      </c>
      <c r="H344" s="56"/>
      <c r="I344" s="86"/>
      <c r="J344" s="144"/>
    </row>
    <row r="345" spans="1:10" ht="12.75" customHeight="1">
      <c r="A345" s="59" t="s">
        <v>399</v>
      </c>
      <c r="B345" s="59"/>
      <c r="C345" s="60">
        <v>241000194</v>
      </c>
      <c r="D345" s="59"/>
      <c r="E345" s="59" t="s">
        <v>694</v>
      </c>
      <c r="F345" s="64" t="s">
        <v>695</v>
      </c>
      <c r="G345" s="60" t="s">
        <v>482</v>
      </c>
      <c r="H345" s="56">
        <v>45</v>
      </c>
      <c r="I345" s="86"/>
      <c r="J345" s="144" t="s">
        <v>655</v>
      </c>
    </row>
    <row r="346" spans="1:10" ht="12.75" customHeight="1">
      <c r="A346" s="59" t="s">
        <v>947</v>
      </c>
      <c r="B346" s="59"/>
      <c r="C346" s="60">
        <v>241000357</v>
      </c>
      <c r="D346" s="59"/>
      <c r="E346" s="95" t="s">
        <v>951</v>
      </c>
      <c r="F346" s="64"/>
      <c r="G346" s="60"/>
      <c r="H346" s="56"/>
      <c r="I346" s="86"/>
      <c r="J346" s="91"/>
    </row>
    <row r="347" spans="1:10" ht="12.75" customHeight="1">
      <c r="A347" s="59" t="s">
        <v>947</v>
      </c>
      <c r="B347" s="59"/>
      <c r="C347" s="60">
        <v>241000354</v>
      </c>
      <c r="D347" s="59"/>
      <c r="E347" s="95" t="s">
        <v>948</v>
      </c>
      <c r="F347" s="64"/>
      <c r="G347" s="60"/>
      <c r="H347" s="56"/>
      <c r="I347" s="86"/>
      <c r="J347" s="91"/>
    </row>
    <row r="348" spans="1:10" ht="12.75" customHeight="1">
      <c r="A348" s="59" t="s">
        <v>947</v>
      </c>
      <c r="B348" s="59"/>
      <c r="C348" s="60">
        <v>241000356</v>
      </c>
      <c r="D348" s="59"/>
      <c r="E348" s="95" t="s">
        <v>950</v>
      </c>
      <c r="F348" s="64"/>
      <c r="G348" s="60"/>
      <c r="H348" s="56"/>
      <c r="I348" s="86"/>
      <c r="J348" s="91"/>
    </row>
    <row r="349" spans="1:10" ht="12.75" customHeight="1">
      <c r="A349" s="59" t="s">
        <v>947</v>
      </c>
      <c r="B349" s="59"/>
      <c r="C349" s="60">
        <v>241000355</v>
      </c>
      <c r="D349" s="59"/>
      <c r="E349" s="95" t="s">
        <v>949</v>
      </c>
      <c r="F349" s="64"/>
      <c r="G349" s="60"/>
      <c r="H349" s="56"/>
      <c r="I349" s="86"/>
      <c r="J349" s="91"/>
    </row>
    <row r="350" spans="1:10" ht="12.75" customHeight="1">
      <c r="A350" s="59" t="s">
        <v>550</v>
      </c>
      <c r="B350" s="59"/>
      <c r="C350" s="60">
        <v>241000262</v>
      </c>
      <c r="D350" s="59"/>
      <c r="E350" s="59" t="s">
        <v>802</v>
      </c>
      <c r="F350" s="64" t="s">
        <v>777</v>
      </c>
      <c r="G350" s="59" t="s">
        <v>791</v>
      </c>
      <c r="H350" s="56"/>
      <c r="I350" s="86"/>
      <c r="J350" s="88"/>
    </row>
    <row r="351" spans="1:10" ht="12.75" customHeight="1">
      <c r="A351" s="59" t="s">
        <v>418</v>
      </c>
      <c r="B351" s="59"/>
      <c r="C351" s="60">
        <v>241000239</v>
      </c>
      <c r="D351" s="59"/>
      <c r="E351" s="59" t="s">
        <v>765</v>
      </c>
      <c r="F351" s="64" t="s">
        <v>647</v>
      </c>
      <c r="G351" s="59" t="s">
        <v>761</v>
      </c>
      <c r="H351" s="56"/>
      <c r="I351" s="86"/>
      <c r="J351" s="88"/>
    </row>
    <row r="352" spans="1:10" ht="12.75" customHeight="1">
      <c r="A352" s="59" t="s">
        <v>630</v>
      </c>
      <c r="B352" s="59"/>
      <c r="C352" s="60">
        <v>241000243</v>
      </c>
      <c r="D352" s="59"/>
      <c r="E352" s="59" t="s">
        <v>769</v>
      </c>
      <c r="F352" s="64" t="s">
        <v>647</v>
      </c>
      <c r="G352" s="59" t="s">
        <v>770</v>
      </c>
      <c r="H352" s="56"/>
      <c r="I352" s="86"/>
      <c r="J352" s="143"/>
    </row>
    <row r="353" spans="1:10" ht="12.75" customHeight="1">
      <c r="A353" s="59" t="s">
        <v>630</v>
      </c>
      <c r="B353" s="59"/>
      <c r="C353" s="60">
        <v>241000244</v>
      </c>
      <c r="D353" s="59"/>
      <c r="E353" s="59" t="s">
        <v>771</v>
      </c>
      <c r="F353" s="64" t="s">
        <v>647</v>
      </c>
      <c r="G353" s="59" t="s">
        <v>772</v>
      </c>
      <c r="H353" s="56"/>
      <c r="I353" s="86"/>
      <c r="J353" s="88"/>
    </row>
    <row r="354" spans="1:10" ht="13.5" customHeight="1">
      <c r="A354" s="59" t="s">
        <v>480</v>
      </c>
      <c r="B354" s="59"/>
      <c r="C354" s="60">
        <v>241000236</v>
      </c>
      <c r="D354" s="59"/>
      <c r="E354" s="59" t="s">
        <v>762</v>
      </c>
      <c r="F354" s="64" t="s">
        <v>647</v>
      </c>
      <c r="G354" s="59" t="s">
        <v>761</v>
      </c>
      <c r="H354" s="56"/>
      <c r="I354" s="86"/>
      <c r="J354" s="88"/>
    </row>
    <row r="355" spans="1:10" ht="13.5" customHeight="1">
      <c r="A355" s="59" t="s">
        <v>480</v>
      </c>
      <c r="B355" s="59"/>
      <c r="C355" s="60">
        <v>241000237</v>
      </c>
      <c r="D355" s="59"/>
      <c r="E355" s="59" t="s">
        <v>763</v>
      </c>
      <c r="F355" s="64" t="s">
        <v>647</v>
      </c>
      <c r="G355" s="59" t="s">
        <v>761</v>
      </c>
      <c r="H355" s="56"/>
      <c r="I355" s="86"/>
      <c r="J355" s="88"/>
    </row>
    <row r="356" spans="1:10" ht="13.5" customHeight="1">
      <c r="A356" s="59" t="s">
        <v>480</v>
      </c>
      <c r="B356" s="59"/>
      <c r="C356" s="60">
        <v>241000235</v>
      </c>
      <c r="D356" s="59"/>
      <c r="E356" s="59" t="s">
        <v>760</v>
      </c>
      <c r="F356" s="64" t="s">
        <v>647</v>
      </c>
      <c r="G356" s="59" t="s">
        <v>761</v>
      </c>
      <c r="H356" s="56"/>
      <c r="I356" s="86"/>
      <c r="J356" s="88"/>
    </row>
    <row r="357" spans="1:10" ht="13.5" customHeight="1">
      <c r="A357" s="59" t="s">
        <v>418</v>
      </c>
      <c r="B357" s="59"/>
      <c r="C357" s="60">
        <v>241000238</v>
      </c>
      <c r="D357" s="59"/>
      <c r="E357" s="59" t="s">
        <v>764</v>
      </c>
      <c r="F357" s="64" t="s">
        <v>647</v>
      </c>
      <c r="G357" s="59" t="s">
        <v>761</v>
      </c>
      <c r="H357" s="56"/>
      <c r="I357" s="86"/>
      <c r="J357" s="88"/>
    </row>
    <row r="358" spans="1:10" ht="13.5" customHeight="1">
      <c r="A358" s="59" t="s">
        <v>435</v>
      </c>
      <c r="B358" s="59"/>
      <c r="C358" s="60">
        <v>241000307</v>
      </c>
      <c r="D358" s="59"/>
      <c r="E358" s="59" t="s">
        <v>864</v>
      </c>
      <c r="F358" s="64" t="s">
        <v>647</v>
      </c>
      <c r="G358" s="89" t="s">
        <v>863</v>
      </c>
      <c r="H358" s="56"/>
      <c r="I358" s="86"/>
      <c r="J358" s="88"/>
    </row>
    <row r="359" spans="1:10" ht="13.5" customHeight="1">
      <c r="A359" s="59" t="s">
        <v>435</v>
      </c>
      <c r="B359" s="59"/>
      <c r="C359" s="60">
        <v>241000306</v>
      </c>
      <c r="D359" s="59"/>
      <c r="E359" s="59" t="s">
        <v>862</v>
      </c>
      <c r="F359" s="64" t="s">
        <v>647</v>
      </c>
      <c r="G359" s="89" t="s">
        <v>863</v>
      </c>
      <c r="H359" s="56"/>
      <c r="I359" s="86"/>
      <c r="J359" s="88"/>
    </row>
    <row r="360" spans="1:10" ht="13.5" customHeight="1">
      <c r="A360" s="59" t="s">
        <v>399</v>
      </c>
      <c r="B360" s="59"/>
      <c r="C360" s="60">
        <v>241000264</v>
      </c>
      <c r="D360" s="59"/>
      <c r="E360" s="59" t="s">
        <v>804</v>
      </c>
      <c r="F360" s="64" t="s">
        <v>777</v>
      </c>
      <c r="G360" s="59" t="s">
        <v>791</v>
      </c>
      <c r="H360" s="56"/>
      <c r="I360" s="86"/>
      <c r="J360" s="88"/>
    </row>
    <row r="361" spans="1:10" ht="13.5" customHeight="1">
      <c r="A361" s="59" t="s">
        <v>418</v>
      </c>
      <c r="B361" s="59"/>
      <c r="C361" s="60">
        <v>241000242</v>
      </c>
      <c r="D361" s="59"/>
      <c r="E361" s="59" t="s">
        <v>768</v>
      </c>
      <c r="F361" s="64" t="s">
        <v>647</v>
      </c>
      <c r="G361" s="59" t="s">
        <v>761</v>
      </c>
      <c r="H361" s="56"/>
      <c r="I361" s="86"/>
      <c r="J361" s="88"/>
    </row>
    <row r="362" spans="1:10" ht="13.5" customHeight="1">
      <c r="A362" s="59" t="s">
        <v>418</v>
      </c>
      <c r="B362" s="59"/>
      <c r="C362" s="60">
        <v>241000287</v>
      </c>
      <c r="D362" s="59"/>
      <c r="E362" s="59" t="s">
        <v>835</v>
      </c>
      <c r="F362" s="64" t="s">
        <v>647</v>
      </c>
      <c r="G362" s="59" t="s">
        <v>825</v>
      </c>
      <c r="H362" s="56"/>
      <c r="I362" s="86"/>
      <c r="J362" s="88"/>
    </row>
    <row r="363" spans="1:10" ht="13.5" customHeight="1">
      <c r="A363" s="59" t="s">
        <v>418</v>
      </c>
      <c r="B363" s="59"/>
      <c r="C363" s="60">
        <v>241000241</v>
      </c>
      <c r="D363" s="59"/>
      <c r="E363" s="59" t="s">
        <v>767</v>
      </c>
      <c r="F363" s="64" t="s">
        <v>647</v>
      </c>
      <c r="G363" s="59" t="s">
        <v>761</v>
      </c>
      <c r="H363" s="56"/>
      <c r="I363" s="86"/>
      <c r="J363" s="88"/>
    </row>
    <row r="364" spans="1:10" ht="13.5" customHeight="1">
      <c r="A364" s="59" t="s">
        <v>418</v>
      </c>
      <c r="B364" s="59"/>
      <c r="C364" s="60">
        <v>241000240</v>
      </c>
      <c r="D364" s="59"/>
      <c r="E364" s="59" t="s">
        <v>766</v>
      </c>
      <c r="F364" s="64" t="s">
        <v>647</v>
      </c>
      <c r="G364" s="59" t="s">
        <v>761</v>
      </c>
      <c r="H364" s="56"/>
      <c r="I364" s="86"/>
      <c r="J364" s="88"/>
    </row>
    <row r="365" spans="1:10" ht="13.5" customHeight="1">
      <c r="A365" s="59" t="s">
        <v>418</v>
      </c>
      <c r="B365" s="59"/>
      <c r="C365" s="60">
        <v>241000263</v>
      </c>
      <c r="D365" s="59"/>
      <c r="E365" s="59" t="s">
        <v>803</v>
      </c>
      <c r="F365" s="64" t="s">
        <v>777</v>
      </c>
      <c r="G365" s="59" t="s">
        <v>791</v>
      </c>
      <c r="H365" s="56"/>
      <c r="I365" s="86"/>
      <c r="J365" s="88"/>
    </row>
    <row r="366" spans="1:10" ht="13.5" customHeight="1">
      <c r="A366" s="59" t="s">
        <v>418</v>
      </c>
      <c r="B366" s="59"/>
      <c r="C366" s="60">
        <v>241000173</v>
      </c>
      <c r="D366" s="59"/>
      <c r="E366" s="59" t="s">
        <v>654</v>
      </c>
      <c r="F366" s="64" t="s">
        <v>515</v>
      </c>
      <c r="G366" s="59" t="s">
        <v>620</v>
      </c>
      <c r="H366" s="56">
        <v>5</v>
      </c>
      <c r="I366" s="86"/>
      <c r="J366" s="144" t="s">
        <v>655</v>
      </c>
    </row>
    <row r="367" spans="1:10" ht="13.5" customHeight="1">
      <c r="A367" s="59" t="s">
        <v>418</v>
      </c>
      <c r="B367" s="60">
        <v>66600334</v>
      </c>
      <c r="C367" s="68"/>
      <c r="D367" s="68"/>
      <c r="E367" s="68" t="s">
        <v>1317</v>
      </c>
      <c r="F367" s="80" t="s">
        <v>515</v>
      </c>
      <c r="G367" s="106" t="s">
        <v>620</v>
      </c>
      <c r="H367" s="56"/>
      <c r="I367" s="86"/>
      <c r="J367" s="144"/>
    </row>
    <row r="368" spans="1:10" ht="13.5" customHeight="1">
      <c r="A368" s="59" t="s">
        <v>418</v>
      </c>
      <c r="B368" s="60">
        <v>66600331</v>
      </c>
      <c r="C368" s="68"/>
      <c r="D368" s="68"/>
      <c r="E368" s="59" t="s">
        <v>1316</v>
      </c>
      <c r="F368" s="80" t="s">
        <v>515</v>
      </c>
      <c r="G368" s="106" t="s">
        <v>620</v>
      </c>
      <c r="H368" s="56"/>
      <c r="I368" s="86"/>
      <c r="J368" s="144"/>
    </row>
    <row r="369" spans="1:10" ht="13.5" customHeight="1">
      <c r="A369" s="59" t="s">
        <v>418</v>
      </c>
      <c r="B369" s="59"/>
      <c r="C369" s="60">
        <v>241000169</v>
      </c>
      <c r="D369" s="59"/>
      <c r="E369" s="59" t="s">
        <v>649</v>
      </c>
      <c r="F369" s="64" t="s">
        <v>515</v>
      </c>
      <c r="G369" s="59" t="s">
        <v>620</v>
      </c>
      <c r="H369" s="56"/>
      <c r="I369" s="86"/>
      <c r="J369" s="144"/>
    </row>
    <row r="370" spans="1:10" ht="13.5" customHeight="1">
      <c r="A370" s="59" t="s">
        <v>418</v>
      </c>
      <c r="B370" s="60">
        <v>66600334</v>
      </c>
      <c r="C370" s="68"/>
      <c r="D370" s="68"/>
      <c r="E370" s="68" t="s">
        <v>1318</v>
      </c>
      <c r="F370" s="80" t="s">
        <v>1319</v>
      </c>
      <c r="G370" s="106" t="s">
        <v>620</v>
      </c>
      <c r="H370" s="56"/>
      <c r="I370" s="86"/>
      <c r="J370" s="144"/>
    </row>
    <row r="371" spans="1:10" ht="13.5" customHeight="1">
      <c r="A371" s="59" t="s">
        <v>630</v>
      </c>
      <c r="B371" s="59"/>
      <c r="C371" s="60">
        <v>241000174</v>
      </c>
      <c r="D371" s="59"/>
      <c r="E371" s="59" t="s">
        <v>656</v>
      </c>
      <c r="F371" s="64" t="s">
        <v>515</v>
      </c>
      <c r="G371" s="59" t="s">
        <v>620</v>
      </c>
      <c r="H371" s="56"/>
      <c r="I371" s="86"/>
      <c r="J371" s="144"/>
    </row>
    <row r="372" spans="1:10" ht="13.5" customHeight="1">
      <c r="A372" s="59" t="s">
        <v>418</v>
      </c>
      <c r="B372" s="60"/>
      <c r="C372" s="60">
        <v>241000080</v>
      </c>
      <c r="D372" s="59"/>
      <c r="E372" s="59" t="s">
        <v>532</v>
      </c>
      <c r="F372" s="64" t="s">
        <v>515</v>
      </c>
      <c r="G372" s="59" t="s">
        <v>478</v>
      </c>
      <c r="H372" s="56">
        <v>6</v>
      </c>
      <c r="I372" s="86"/>
      <c r="J372" s="144"/>
    </row>
    <row r="373" spans="1:10" ht="13.5" customHeight="1">
      <c r="A373" s="59" t="s">
        <v>630</v>
      </c>
      <c r="B373" s="60">
        <v>66600328</v>
      </c>
      <c r="C373" s="59"/>
      <c r="D373" s="68"/>
      <c r="E373" s="68" t="s">
        <v>1315</v>
      </c>
      <c r="F373" s="80" t="s">
        <v>515</v>
      </c>
      <c r="G373" s="106" t="s">
        <v>620</v>
      </c>
      <c r="H373" s="56"/>
      <c r="I373" s="86"/>
      <c r="J373" s="144"/>
    </row>
    <row r="374" spans="1:10" ht="13.5" customHeight="1">
      <c r="A374" s="72" t="s">
        <v>418</v>
      </c>
      <c r="B374" s="73">
        <v>666000329</v>
      </c>
      <c r="C374" s="73"/>
      <c r="D374" s="59"/>
      <c r="E374" s="72" t="s">
        <v>978</v>
      </c>
      <c r="F374" s="104" t="s">
        <v>515</v>
      </c>
      <c r="G374" s="73" t="s">
        <v>432</v>
      </c>
      <c r="H374" s="56"/>
      <c r="I374" s="86"/>
      <c r="J374" s="105" t="s">
        <v>979</v>
      </c>
    </row>
    <row r="375" spans="1:10" ht="13.5" customHeight="1">
      <c r="A375" s="59" t="s">
        <v>480</v>
      </c>
      <c r="B375" s="60"/>
      <c r="C375" s="60">
        <v>241000067</v>
      </c>
      <c r="D375" s="59"/>
      <c r="E375" s="59" t="s">
        <v>517</v>
      </c>
      <c r="F375" s="64" t="s">
        <v>515</v>
      </c>
      <c r="G375" s="59" t="s">
        <v>478</v>
      </c>
      <c r="H375" s="56">
        <v>3</v>
      </c>
      <c r="I375" s="86"/>
      <c r="J375" s="144"/>
    </row>
    <row r="376" spans="1:10" ht="13.5" customHeight="1">
      <c r="A376" s="59" t="s">
        <v>480</v>
      </c>
      <c r="B376" s="60"/>
      <c r="C376" s="60">
        <v>241000068</v>
      </c>
      <c r="D376" s="59"/>
      <c r="E376" s="59" t="s">
        <v>518</v>
      </c>
      <c r="F376" s="64" t="s">
        <v>515</v>
      </c>
      <c r="G376" s="59" t="s">
        <v>478</v>
      </c>
      <c r="H376" s="56">
        <v>6</v>
      </c>
      <c r="I376" s="86"/>
      <c r="J376" s="144"/>
    </row>
    <row r="377" spans="1:10" ht="13.5" customHeight="1">
      <c r="A377" s="59" t="s">
        <v>480</v>
      </c>
      <c r="B377" s="60"/>
      <c r="C377" s="60">
        <v>241000066</v>
      </c>
      <c r="D377" s="59"/>
      <c r="E377" s="59" t="s">
        <v>516</v>
      </c>
      <c r="F377" s="64" t="s">
        <v>515</v>
      </c>
      <c r="G377" s="59" t="s">
        <v>478</v>
      </c>
      <c r="H377" s="56"/>
      <c r="I377" s="86"/>
      <c r="J377" s="144"/>
    </row>
    <row r="378" spans="1:10" ht="13.5" customHeight="1">
      <c r="A378" s="59" t="s">
        <v>418</v>
      </c>
      <c r="B378" s="60"/>
      <c r="C378" s="60">
        <v>241000065</v>
      </c>
      <c r="D378" s="59"/>
      <c r="E378" s="59" t="s">
        <v>514</v>
      </c>
      <c r="F378" s="64" t="s">
        <v>515</v>
      </c>
      <c r="G378" s="59" t="s">
        <v>478</v>
      </c>
      <c r="H378" s="56">
        <v>10</v>
      </c>
      <c r="I378" s="86"/>
      <c r="J378" s="144"/>
    </row>
    <row r="379" spans="1:10" ht="13.5" customHeight="1">
      <c r="A379" s="59" t="s">
        <v>418</v>
      </c>
      <c r="B379" s="59"/>
      <c r="C379" s="60">
        <v>241000171</v>
      </c>
      <c r="D379" s="59"/>
      <c r="E379" s="59" t="s">
        <v>652</v>
      </c>
      <c r="F379" s="64" t="s">
        <v>515</v>
      </c>
      <c r="G379" s="59" t="s">
        <v>620</v>
      </c>
      <c r="H379" s="56"/>
      <c r="I379" s="86"/>
      <c r="J379" s="144"/>
    </row>
    <row r="380" spans="1:10" ht="13.5" customHeight="1">
      <c r="A380" s="59" t="s">
        <v>418</v>
      </c>
      <c r="B380" s="59"/>
      <c r="C380" s="60">
        <v>241000177</v>
      </c>
      <c r="D380" s="59"/>
      <c r="E380" s="81" t="s">
        <v>660</v>
      </c>
      <c r="F380" s="64" t="s">
        <v>515</v>
      </c>
      <c r="G380" s="59" t="s">
        <v>620</v>
      </c>
      <c r="H380" s="56"/>
      <c r="I380" s="86"/>
      <c r="J380" s="144"/>
    </row>
    <row r="381" spans="1:10" ht="13.5" customHeight="1">
      <c r="A381" s="59" t="s">
        <v>418</v>
      </c>
      <c r="B381" s="59"/>
      <c r="C381" s="60">
        <v>241000172</v>
      </c>
      <c r="D381" s="59"/>
      <c r="E381" s="59" t="s">
        <v>653</v>
      </c>
      <c r="F381" s="64" t="s">
        <v>515</v>
      </c>
      <c r="G381" s="59" t="s">
        <v>620</v>
      </c>
      <c r="H381" s="56">
        <v>4</v>
      </c>
      <c r="I381" s="86"/>
      <c r="J381" s="144"/>
    </row>
    <row r="382" spans="1:10" ht="13.5" customHeight="1">
      <c r="A382" s="59" t="s">
        <v>418</v>
      </c>
      <c r="B382" s="59"/>
      <c r="C382" s="60">
        <v>241000288</v>
      </c>
      <c r="D382" s="59"/>
      <c r="E382" s="59" t="s">
        <v>836</v>
      </c>
      <c r="F382" s="64" t="s">
        <v>515</v>
      </c>
      <c r="G382" s="59" t="s">
        <v>825</v>
      </c>
      <c r="H382" s="56"/>
      <c r="I382" s="86"/>
      <c r="J382" s="88"/>
    </row>
    <row r="383" spans="1:10" ht="13.5" customHeight="1">
      <c r="A383" s="59" t="s">
        <v>399</v>
      </c>
      <c r="B383" s="59"/>
      <c r="C383" s="60">
        <v>241000216</v>
      </c>
      <c r="D383" s="59"/>
      <c r="E383" s="59" t="s">
        <v>733</v>
      </c>
      <c r="F383" s="64" t="s">
        <v>734</v>
      </c>
      <c r="G383" s="59" t="s">
        <v>478</v>
      </c>
      <c r="H383" s="56">
        <v>2</v>
      </c>
      <c r="I383" s="86"/>
      <c r="J383" s="107" t="s">
        <v>671</v>
      </c>
    </row>
    <row r="384" spans="1:10" ht="13.5" customHeight="1">
      <c r="A384" s="59" t="s">
        <v>399</v>
      </c>
      <c r="B384" s="60"/>
      <c r="C384" s="60">
        <v>241000069</v>
      </c>
      <c r="D384" s="59"/>
      <c r="E384" s="59" t="s">
        <v>519</v>
      </c>
      <c r="F384" s="64" t="s">
        <v>515</v>
      </c>
      <c r="G384" s="59" t="s">
        <v>478</v>
      </c>
      <c r="H384" s="56">
        <v>10</v>
      </c>
      <c r="I384" s="86"/>
      <c r="J384" s="144"/>
    </row>
    <row r="385" spans="1:10" s="77" customFormat="1" ht="13.5" customHeight="1">
      <c r="A385" s="59" t="s">
        <v>850</v>
      </c>
      <c r="B385" s="59"/>
      <c r="C385" s="60">
        <v>241000300</v>
      </c>
      <c r="D385" s="59"/>
      <c r="E385" s="81" t="s">
        <v>851</v>
      </c>
      <c r="F385" s="64" t="s">
        <v>852</v>
      </c>
      <c r="G385" s="59" t="s">
        <v>809</v>
      </c>
      <c r="H385" s="56"/>
      <c r="I385" s="86"/>
      <c r="J385" s="88"/>
    </row>
    <row r="386" spans="1:10" ht="13.5" customHeight="1">
      <c r="A386" s="59" t="s">
        <v>903</v>
      </c>
      <c r="B386" s="59"/>
      <c r="C386" s="60">
        <v>241000329</v>
      </c>
      <c r="D386" s="59"/>
      <c r="E386" s="59" t="s">
        <v>904</v>
      </c>
      <c r="F386" s="64" t="s">
        <v>457</v>
      </c>
      <c r="G386" s="60" t="s">
        <v>809</v>
      </c>
      <c r="H386" s="56"/>
      <c r="I386" s="86"/>
      <c r="J386" s="91"/>
    </row>
    <row r="387" spans="1:10" ht="13.5" customHeight="1">
      <c r="A387" s="68" t="s">
        <v>903</v>
      </c>
      <c r="B387" s="68">
        <v>53460145</v>
      </c>
      <c r="C387" s="68"/>
      <c r="D387" s="68" t="s">
        <v>1304</v>
      </c>
      <c r="E387" s="68" t="s">
        <v>1305</v>
      </c>
      <c r="F387" s="80" t="s">
        <v>1303</v>
      </c>
      <c r="G387" s="106" t="s">
        <v>1006</v>
      </c>
      <c r="H387" s="56"/>
      <c r="I387" s="64"/>
      <c r="J387" s="62"/>
    </row>
    <row r="388" spans="1:10" ht="13.5" customHeight="1">
      <c r="A388" s="68" t="s">
        <v>418</v>
      </c>
      <c r="B388" s="68">
        <v>50112048</v>
      </c>
      <c r="C388" s="68"/>
      <c r="D388" s="68" t="s">
        <v>1183</v>
      </c>
      <c r="E388" s="68" t="s">
        <v>1231</v>
      </c>
      <c r="F388" s="80" t="s">
        <v>368</v>
      </c>
      <c r="G388" s="106" t="s">
        <v>423</v>
      </c>
      <c r="H388" s="56">
        <v>17</v>
      </c>
      <c r="I388" s="64"/>
      <c r="J388" s="56" t="s">
        <v>655</v>
      </c>
    </row>
    <row r="389" spans="1:10" ht="13.5" customHeight="1">
      <c r="A389" s="59" t="s">
        <v>435</v>
      </c>
      <c r="B389" s="60"/>
      <c r="C389" s="60">
        <v>241000018</v>
      </c>
      <c r="D389" s="59"/>
      <c r="E389" s="59" t="s">
        <v>438</v>
      </c>
      <c r="F389" s="64" t="s">
        <v>368</v>
      </c>
      <c r="G389" s="59" t="s">
        <v>437</v>
      </c>
      <c r="H389" s="56">
        <v>88</v>
      </c>
      <c r="I389" s="64"/>
      <c r="J389" s="66"/>
    </row>
    <row r="390" spans="1:10" ht="13.5" customHeight="1">
      <c r="A390" s="68" t="s">
        <v>439</v>
      </c>
      <c r="B390" s="60"/>
      <c r="C390" s="60">
        <v>241000019</v>
      </c>
      <c r="D390" s="68"/>
      <c r="E390" s="68" t="s">
        <v>440</v>
      </c>
      <c r="F390" s="64" t="s">
        <v>368</v>
      </c>
      <c r="G390" s="59" t="s">
        <v>441</v>
      </c>
      <c r="H390" s="56">
        <v>8</v>
      </c>
      <c r="I390" s="64"/>
      <c r="J390" s="66"/>
    </row>
    <row r="391" spans="1:10" ht="13.5" customHeight="1">
      <c r="A391" s="59" t="s">
        <v>418</v>
      </c>
      <c r="B391" s="60"/>
      <c r="C391" s="60">
        <v>241000094</v>
      </c>
      <c r="D391" s="59"/>
      <c r="E391" s="68" t="s">
        <v>548</v>
      </c>
      <c r="F391" s="64" t="s">
        <v>368</v>
      </c>
      <c r="G391" s="59" t="s">
        <v>473</v>
      </c>
      <c r="H391" s="56">
        <v>36</v>
      </c>
      <c r="I391" s="64"/>
      <c r="J391" s="56"/>
    </row>
    <row r="392" spans="1:10" ht="13.5" customHeight="1">
      <c r="A392" s="59" t="s">
        <v>418</v>
      </c>
      <c r="B392" s="60">
        <v>50110079</v>
      </c>
      <c r="C392" s="68"/>
      <c r="D392" s="68"/>
      <c r="E392" s="68" t="s">
        <v>1075</v>
      </c>
      <c r="F392" s="80" t="s">
        <v>368</v>
      </c>
      <c r="G392" s="106" t="s">
        <v>1056</v>
      </c>
      <c r="H392" s="56"/>
      <c r="I392" s="64"/>
      <c r="J392" s="56"/>
    </row>
    <row r="393" spans="1:10" ht="13.5" customHeight="1">
      <c r="A393" s="59" t="s">
        <v>480</v>
      </c>
      <c r="B393" s="59"/>
      <c r="C393" s="60">
        <v>241000223</v>
      </c>
      <c r="D393" s="59"/>
      <c r="E393" s="59" t="s">
        <v>742</v>
      </c>
      <c r="F393" s="64" t="s">
        <v>368</v>
      </c>
      <c r="G393" s="59" t="s">
        <v>473</v>
      </c>
      <c r="H393" s="56">
        <v>1</v>
      </c>
      <c r="I393" s="64"/>
      <c r="J393" s="66" t="s">
        <v>671</v>
      </c>
    </row>
    <row r="394" spans="1:10" ht="13.5" customHeight="1">
      <c r="A394" s="59" t="s">
        <v>480</v>
      </c>
      <c r="B394" s="59"/>
      <c r="C394" s="60">
        <v>241000221</v>
      </c>
      <c r="D394" s="59"/>
      <c r="E394" s="59" t="s">
        <v>740</v>
      </c>
      <c r="F394" s="64" t="s">
        <v>368</v>
      </c>
      <c r="G394" s="59" t="s">
        <v>473</v>
      </c>
      <c r="H394" s="56">
        <v>18</v>
      </c>
      <c r="I394" s="64"/>
      <c r="J394" s="66" t="s">
        <v>671</v>
      </c>
    </row>
    <row r="395" spans="1:10" ht="12.75" customHeight="1">
      <c r="A395" s="59" t="s">
        <v>480</v>
      </c>
      <c r="B395" s="59"/>
      <c r="C395" s="60">
        <v>241000222</v>
      </c>
      <c r="D395" s="59"/>
      <c r="E395" s="59" t="s">
        <v>741</v>
      </c>
      <c r="F395" s="64" t="s">
        <v>368</v>
      </c>
      <c r="G395" s="59" t="s">
        <v>473</v>
      </c>
      <c r="H395" s="56">
        <v>25</v>
      </c>
      <c r="I395" s="64"/>
      <c r="J395" s="66" t="s">
        <v>671</v>
      </c>
    </row>
    <row r="396" spans="1:10" ht="12.75" customHeight="1">
      <c r="A396" s="108" t="s">
        <v>480</v>
      </c>
      <c r="B396" s="108">
        <v>35000033</v>
      </c>
      <c r="C396" s="108" t="s">
        <v>986</v>
      </c>
      <c r="D396" s="68" t="s">
        <v>987</v>
      </c>
      <c r="E396" s="108" t="s">
        <v>988</v>
      </c>
      <c r="F396" s="109" t="s">
        <v>368</v>
      </c>
      <c r="G396" s="110" t="s">
        <v>473</v>
      </c>
      <c r="H396" s="56"/>
      <c r="I396" s="64">
        <v>7</v>
      </c>
      <c r="J396" s="111" t="s">
        <v>989</v>
      </c>
    </row>
    <row r="397" spans="1:10" ht="12.75" customHeight="1">
      <c r="A397" s="68" t="s">
        <v>603</v>
      </c>
      <c r="B397" s="68">
        <v>49360024</v>
      </c>
      <c r="C397" s="68"/>
      <c r="D397" s="68" t="s">
        <v>1011</v>
      </c>
      <c r="E397" s="68" t="s">
        <v>1012</v>
      </c>
      <c r="F397" s="80" t="s">
        <v>368</v>
      </c>
      <c r="G397" s="106" t="s">
        <v>1003</v>
      </c>
      <c r="H397" s="56">
        <v>133</v>
      </c>
      <c r="I397" s="64"/>
      <c r="J397" s="66"/>
    </row>
    <row r="398" spans="1:10" ht="12.75" customHeight="1">
      <c r="A398" s="59" t="s">
        <v>418</v>
      </c>
      <c r="B398" s="60"/>
      <c r="C398" s="60">
        <v>241000117</v>
      </c>
      <c r="D398" s="59"/>
      <c r="E398" s="68" t="s">
        <v>575</v>
      </c>
      <c r="F398" s="64" t="s">
        <v>368</v>
      </c>
      <c r="G398" s="59" t="s">
        <v>428</v>
      </c>
      <c r="H398" s="56">
        <v>87</v>
      </c>
      <c r="I398" s="64"/>
      <c r="J398" s="56"/>
    </row>
    <row r="399" spans="1:10" ht="12.75" customHeight="1">
      <c r="A399" s="59" t="s">
        <v>418</v>
      </c>
      <c r="B399" s="60"/>
      <c r="C399" s="60">
        <v>241000049</v>
      </c>
      <c r="D399" s="59"/>
      <c r="E399" s="68" t="s">
        <v>493</v>
      </c>
      <c r="F399" s="64" t="s">
        <v>368</v>
      </c>
      <c r="G399" s="59" t="s">
        <v>423</v>
      </c>
      <c r="H399" s="56">
        <v>6</v>
      </c>
      <c r="I399" s="64"/>
      <c r="J399" s="56"/>
    </row>
    <row r="400" spans="1:10" ht="12.75" customHeight="1">
      <c r="A400" s="59" t="s">
        <v>418</v>
      </c>
      <c r="B400" s="60"/>
      <c r="C400" s="60">
        <v>241000048</v>
      </c>
      <c r="D400" s="59"/>
      <c r="E400" s="68" t="s">
        <v>492</v>
      </c>
      <c r="F400" s="64" t="s">
        <v>368</v>
      </c>
      <c r="G400" s="59" t="s">
        <v>423</v>
      </c>
      <c r="H400" s="56">
        <v>10</v>
      </c>
      <c r="I400" s="64"/>
      <c r="J400" s="56"/>
    </row>
    <row r="401" spans="1:10" ht="12.75" customHeight="1">
      <c r="A401" s="68" t="s">
        <v>550</v>
      </c>
      <c r="B401" s="68">
        <v>50110051</v>
      </c>
      <c r="C401" s="68"/>
      <c r="D401" s="68" t="s">
        <v>1048</v>
      </c>
      <c r="E401" s="68" t="s">
        <v>1049</v>
      </c>
      <c r="F401" s="80" t="s">
        <v>368</v>
      </c>
      <c r="G401" s="106" t="s">
        <v>473</v>
      </c>
      <c r="H401" s="56">
        <v>23</v>
      </c>
      <c r="I401" s="64"/>
      <c r="J401" s="56"/>
    </row>
    <row r="402" spans="1:10" ht="12.75" customHeight="1">
      <c r="A402" s="68" t="s">
        <v>630</v>
      </c>
      <c r="B402" s="68">
        <v>50110114</v>
      </c>
      <c r="C402" s="68"/>
      <c r="D402" s="68" t="s">
        <v>1034</v>
      </c>
      <c r="E402" s="68" t="s">
        <v>1088</v>
      </c>
      <c r="F402" s="80" t="s">
        <v>368</v>
      </c>
      <c r="G402" s="106" t="s">
        <v>1000</v>
      </c>
      <c r="H402" s="56"/>
      <c r="I402" s="64"/>
      <c r="J402" s="56"/>
    </row>
    <row r="403" spans="1:10" ht="12.75" customHeight="1">
      <c r="A403" s="68" t="s">
        <v>418</v>
      </c>
      <c r="B403" s="68">
        <v>50110187</v>
      </c>
      <c r="C403" s="68"/>
      <c r="D403" s="68" t="s">
        <v>1104</v>
      </c>
      <c r="E403" s="68" t="s">
        <v>1105</v>
      </c>
      <c r="F403" s="64" t="s">
        <v>368</v>
      </c>
      <c r="G403" s="59" t="s">
        <v>473</v>
      </c>
      <c r="H403" s="56"/>
      <c r="I403" s="64"/>
      <c r="J403" s="56"/>
    </row>
    <row r="404" spans="1:10" ht="12.75" customHeight="1">
      <c r="A404" s="59" t="s">
        <v>418</v>
      </c>
      <c r="B404" s="59"/>
      <c r="C404" s="60">
        <v>241000217</v>
      </c>
      <c r="D404" s="59"/>
      <c r="E404" s="59" t="s">
        <v>735</v>
      </c>
      <c r="F404" s="64" t="s">
        <v>368</v>
      </c>
      <c r="G404" s="59" t="s">
        <v>473</v>
      </c>
      <c r="H404" s="56">
        <v>49</v>
      </c>
      <c r="I404" s="64"/>
      <c r="J404" s="66" t="s">
        <v>671</v>
      </c>
    </row>
    <row r="405" spans="1:10" ht="12.75" customHeight="1">
      <c r="A405" s="59" t="s">
        <v>480</v>
      </c>
      <c r="B405" s="60"/>
      <c r="C405" s="60">
        <v>241000045</v>
      </c>
      <c r="D405" s="59"/>
      <c r="E405" s="59" t="s">
        <v>488</v>
      </c>
      <c r="F405" s="64" t="s">
        <v>368</v>
      </c>
      <c r="G405" s="59" t="s">
        <v>473</v>
      </c>
      <c r="H405" s="56">
        <v>4</v>
      </c>
      <c r="I405" s="64"/>
      <c r="J405" s="56"/>
    </row>
    <row r="406" spans="1:10" ht="12.75" customHeight="1">
      <c r="A406" s="68" t="s">
        <v>418</v>
      </c>
      <c r="B406" s="68">
        <v>30304202</v>
      </c>
      <c r="C406" s="68"/>
      <c r="D406" s="68" t="s">
        <v>980</v>
      </c>
      <c r="E406" s="68" t="s">
        <v>982</v>
      </c>
      <c r="F406" s="80" t="s">
        <v>368</v>
      </c>
      <c r="G406" s="106" t="s">
        <v>437</v>
      </c>
      <c r="H406" s="56">
        <v>104</v>
      </c>
      <c r="I406" s="64"/>
      <c r="J406" s="66"/>
    </row>
    <row r="407" spans="1:10" ht="12.75" customHeight="1">
      <c r="A407" s="59" t="s">
        <v>480</v>
      </c>
      <c r="B407" s="60"/>
      <c r="C407" s="60">
        <v>241000047</v>
      </c>
      <c r="D407" s="59"/>
      <c r="E407" s="59" t="s">
        <v>491</v>
      </c>
      <c r="F407" s="64" t="s">
        <v>368</v>
      </c>
      <c r="G407" s="59" t="s">
        <v>473</v>
      </c>
      <c r="H407" s="56">
        <v>1</v>
      </c>
      <c r="I407" s="64"/>
      <c r="J407" s="56"/>
    </row>
    <row r="408" spans="1:10" ht="12.75" customHeight="1">
      <c r="A408" s="59" t="s">
        <v>418</v>
      </c>
      <c r="B408" s="59"/>
      <c r="C408" s="60">
        <v>241000219</v>
      </c>
      <c r="D408" s="59"/>
      <c r="E408" s="59" t="s">
        <v>738</v>
      </c>
      <c r="F408" s="64" t="s">
        <v>368</v>
      </c>
      <c r="G408" s="59" t="s">
        <v>432</v>
      </c>
      <c r="H408" s="56">
        <v>6</v>
      </c>
      <c r="I408" s="64"/>
      <c r="J408" s="66" t="s">
        <v>671</v>
      </c>
    </row>
    <row r="409" spans="1:10" ht="12.75" customHeight="1">
      <c r="A409" s="59" t="s">
        <v>418</v>
      </c>
      <c r="B409" s="59"/>
      <c r="C409" s="60">
        <v>241000353</v>
      </c>
      <c r="D409" s="59"/>
      <c r="E409" s="95" t="s">
        <v>946</v>
      </c>
      <c r="F409" s="64" t="s">
        <v>368</v>
      </c>
      <c r="G409" s="60"/>
      <c r="H409" s="56"/>
      <c r="I409" s="64"/>
      <c r="J409" s="146"/>
    </row>
    <row r="410" spans="1:10" ht="12.75" customHeight="1">
      <c r="A410" s="59" t="s">
        <v>418</v>
      </c>
      <c r="B410" s="59"/>
      <c r="C410" s="60">
        <v>241000352</v>
      </c>
      <c r="D410" s="59"/>
      <c r="E410" s="95" t="s">
        <v>945</v>
      </c>
      <c r="F410" s="64" t="s">
        <v>368</v>
      </c>
      <c r="G410" s="60"/>
      <c r="H410" s="56"/>
      <c r="I410" s="64"/>
      <c r="J410" s="146"/>
    </row>
    <row r="411" spans="1:10" ht="12.75" customHeight="1">
      <c r="A411" s="68" t="s">
        <v>418</v>
      </c>
      <c r="B411" s="68">
        <v>50112252</v>
      </c>
      <c r="C411" s="68"/>
      <c r="D411" s="68" t="s">
        <v>1121</v>
      </c>
      <c r="E411" s="68" t="s">
        <v>1241</v>
      </c>
      <c r="F411" s="80" t="s">
        <v>919</v>
      </c>
      <c r="G411" s="106" t="s">
        <v>423</v>
      </c>
      <c r="H411" s="56">
        <v>11</v>
      </c>
      <c r="I411" s="64"/>
      <c r="J411" s="66" t="s">
        <v>996</v>
      </c>
    </row>
    <row r="412" spans="1:10" ht="12.75" customHeight="1">
      <c r="A412" s="68" t="s">
        <v>418</v>
      </c>
      <c r="B412" s="68">
        <v>50112256</v>
      </c>
      <c r="C412" s="68"/>
      <c r="D412" s="68" t="s">
        <v>994</v>
      </c>
      <c r="E412" s="68" t="s">
        <v>1242</v>
      </c>
      <c r="F412" s="80" t="s">
        <v>919</v>
      </c>
      <c r="G412" s="106" t="s">
        <v>423</v>
      </c>
      <c r="H412" s="56">
        <v>32</v>
      </c>
      <c r="I412" s="64"/>
      <c r="J412" s="106" t="s">
        <v>996</v>
      </c>
    </row>
    <row r="413" spans="1:10" ht="12.75" customHeight="1">
      <c r="A413" s="68" t="s">
        <v>630</v>
      </c>
      <c r="B413" s="68">
        <v>50112268</v>
      </c>
      <c r="C413" s="68"/>
      <c r="D413" s="68" t="s">
        <v>1246</v>
      </c>
      <c r="E413" s="68" t="s">
        <v>1247</v>
      </c>
      <c r="F413" s="80" t="s">
        <v>919</v>
      </c>
      <c r="G413" s="106" t="s">
        <v>772</v>
      </c>
      <c r="H413" s="56"/>
      <c r="I413" s="64"/>
      <c r="J413" s="56"/>
    </row>
    <row r="414" spans="1:10" ht="12.75" customHeight="1">
      <c r="A414" s="68" t="s">
        <v>418</v>
      </c>
      <c r="B414" s="68">
        <v>50112264</v>
      </c>
      <c r="C414" s="68"/>
      <c r="D414" s="68" t="s">
        <v>1213</v>
      </c>
      <c r="E414" s="68" t="s">
        <v>1245</v>
      </c>
      <c r="F414" s="80" t="s">
        <v>919</v>
      </c>
      <c r="G414" s="106" t="s">
        <v>437</v>
      </c>
      <c r="H414" s="56">
        <v>794</v>
      </c>
      <c r="I414" s="64"/>
      <c r="J414" s="56"/>
    </row>
    <row r="415" spans="1:10" ht="12.75" customHeight="1">
      <c r="A415" s="68" t="s">
        <v>418</v>
      </c>
      <c r="B415" s="68">
        <v>50112260</v>
      </c>
      <c r="C415" s="68"/>
      <c r="D415" s="68" t="s">
        <v>1119</v>
      </c>
      <c r="E415" s="68" t="s">
        <v>1243</v>
      </c>
      <c r="F415" s="80" t="s">
        <v>919</v>
      </c>
      <c r="G415" s="106" t="s">
        <v>423</v>
      </c>
      <c r="H415" s="56">
        <v>77</v>
      </c>
      <c r="I415" s="64"/>
      <c r="J415" s="66" t="s">
        <v>1244</v>
      </c>
    </row>
    <row r="416" spans="1:10" s="77" customFormat="1" ht="12.75" customHeight="1">
      <c r="A416" s="68" t="s">
        <v>418</v>
      </c>
      <c r="B416" s="68">
        <v>50110116</v>
      </c>
      <c r="C416" s="68"/>
      <c r="D416" s="68" t="s">
        <v>1043</v>
      </c>
      <c r="E416" s="68" t="s">
        <v>1089</v>
      </c>
      <c r="F416" s="80" t="s">
        <v>368</v>
      </c>
      <c r="G416" s="106" t="s">
        <v>437</v>
      </c>
      <c r="H416" s="56">
        <v>517</v>
      </c>
      <c r="I416" s="64"/>
      <c r="J416" s="56"/>
    </row>
    <row r="417" spans="1:10" ht="12.75" customHeight="1">
      <c r="A417" s="68" t="s">
        <v>418</v>
      </c>
      <c r="B417" s="60">
        <v>50112244</v>
      </c>
      <c r="C417" s="68"/>
      <c r="D417" s="68"/>
      <c r="E417" s="68" t="s">
        <v>1240</v>
      </c>
      <c r="F417" s="80" t="s">
        <v>919</v>
      </c>
      <c r="G417" s="106" t="s">
        <v>423</v>
      </c>
      <c r="H417" s="56">
        <v>50</v>
      </c>
      <c r="I417" s="64"/>
      <c r="J417" s="66"/>
    </row>
    <row r="418" spans="1:10" ht="12.75" customHeight="1">
      <c r="A418" s="59" t="s">
        <v>480</v>
      </c>
      <c r="B418" s="60"/>
      <c r="C418" s="60">
        <v>241000116</v>
      </c>
      <c r="D418" s="59"/>
      <c r="E418" s="60" t="s">
        <v>574</v>
      </c>
      <c r="F418" s="64" t="s">
        <v>368</v>
      </c>
      <c r="G418" s="59" t="s">
        <v>426</v>
      </c>
      <c r="H418" s="56">
        <v>14</v>
      </c>
      <c r="I418" s="64">
        <v>4</v>
      </c>
      <c r="J418" s="56"/>
    </row>
    <row r="419" spans="1:10" ht="12.75" customHeight="1">
      <c r="A419" s="68" t="s">
        <v>480</v>
      </c>
      <c r="B419" s="68">
        <v>50112204</v>
      </c>
      <c r="C419" s="68"/>
      <c r="D419" s="68" t="s">
        <v>1232</v>
      </c>
      <c r="E419" s="68" t="s">
        <v>1233</v>
      </c>
      <c r="F419" s="64" t="s">
        <v>368</v>
      </c>
      <c r="G419" s="59" t="s">
        <v>423</v>
      </c>
      <c r="H419" s="56">
        <v>8</v>
      </c>
      <c r="I419" s="64"/>
      <c r="J419" s="56" t="s">
        <v>996</v>
      </c>
    </row>
    <row r="420" spans="1:10" ht="12.75" customHeight="1">
      <c r="A420" s="59" t="s">
        <v>480</v>
      </c>
      <c r="B420" s="59"/>
      <c r="C420" s="60">
        <v>241000187</v>
      </c>
      <c r="D420" s="59"/>
      <c r="E420" s="81" t="s">
        <v>676</v>
      </c>
      <c r="F420" s="64" t="s">
        <v>368</v>
      </c>
      <c r="G420" s="59" t="s">
        <v>473</v>
      </c>
      <c r="H420" s="56">
        <v>0</v>
      </c>
      <c r="I420" s="64">
        <v>12</v>
      </c>
      <c r="J420" s="56"/>
    </row>
    <row r="421" spans="1:10" ht="12.75" customHeight="1">
      <c r="A421" s="59" t="s">
        <v>480</v>
      </c>
      <c r="B421" s="59"/>
      <c r="C421" s="60">
        <v>241000186</v>
      </c>
      <c r="D421" s="59"/>
      <c r="E421" s="81" t="s">
        <v>675</v>
      </c>
      <c r="F421" s="64" t="s">
        <v>368</v>
      </c>
      <c r="G421" s="59" t="s">
        <v>473</v>
      </c>
      <c r="H421" s="56">
        <v>10</v>
      </c>
      <c r="I421" s="64">
        <v>13</v>
      </c>
      <c r="J421" s="56"/>
    </row>
    <row r="422" spans="1:10" ht="12.75" customHeight="1">
      <c r="A422" s="59" t="s">
        <v>480</v>
      </c>
      <c r="B422" s="60"/>
      <c r="C422" s="60">
        <v>241000046</v>
      </c>
      <c r="D422" s="59"/>
      <c r="E422" s="59" t="s">
        <v>489</v>
      </c>
      <c r="F422" s="64" t="s">
        <v>368</v>
      </c>
      <c r="G422" s="59" t="s">
        <v>473</v>
      </c>
      <c r="H422" s="56">
        <v>10</v>
      </c>
      <c r="I422" s="64">
        <v>15</v>
      </c>
      <c r="J422" s="56" t="s">
        <v>490</v>
      </c>
    </row>
    <row r="423" spans="1:10" ht="12.75" customHeight="1">
      <c r="A423" s="59" t="s">
        <v>418</v>
      </c>
      <c r="B423" s="60">
        <v>50110020</v>
      </c>
      <c r="C423" s="68"/>
      <c r="D423" s="68"/>
      <c r="E423" s="68" t="s">
        <v>1040</v>
      </c>
      <c r="F423" s="80" t="s">
        <v>368</v>
      </c>
      <c r="G423" s="106" t="s">
        <v>473</v>
      </c>
      <c r="H423" s="56"/>
      <c r="I423" s="64"/>
      <c r="J423" s="56" t="s">
        <v>1041</v>
      </c>
    </row>
    <row r="424" spans="1:10" ht="12.75" customHeight="1">
      <c r="A424" s="68" t="s">
        <v>480</v>
      </c>
      <c r="B424" s="68">
        <v>50111404</v>
      </c>
      <c r="C424" s="68"/>
      <c r="D424" s="68" t="s">
        <v>1225</v>
      </c>
      <c r="E424" s="68" t="s">
        <v>1226</v>
      </c>
      <c r="F424" s="80" t="s">
        <v>368</v>
      </c>
      <c r="G424" s="106" t="s">
        <v>473</v>
      </c>
      <c r="H424" s="56">
        <v>4</v>
      </c>
      <c r="I424" s="64">
        <v>8</v>
      </c>
      <c r="J424" s="56"/>
    </row>
    <row r="425" spans="1:10" ht="12.75" customHeight="1">
      <c r="A425" s="68" t="s">
        <v>480</v>
      </c>
      <c r="B425" s="68">
        <v>50112229</v>
      </c>
      <c r="C425" s="68"/>
      <c r="D425" s="68" t="s">
        <v>1236</v>
      </c>
      <c r="E425" s="68" t="s">
        <v>1237</v>
      </c>
      <c r="F425" s="80" t="s">
        <v>368</v>
      </c>
      <c r="G425" s="106" t="s">
        <v>473</v>
      </c>
      <c r="H425" s="56">
        <v>0</v>
      </c>
      <c r="I425" s="64">
        <v>4</v>
      </c>
      <c r="J425" s="56" t="s">
        <v>490</v>
      </c>
    </row>
    <row r="426" spans="1:10" ht="12.75" customHeight="1">
      <c r="A426" s="59" t="s">
        <v>418</v>
      </c>
      <c r="B426" s="60"/>
      <c r="C426" s="60">
        <v>241000109</v>
      </c>
      <c r="D426" s="59"/>
      <c r="E426" s="68" t="s">
        <v>566</v>
      </c>
      <c r="F426" s="64" t="s">
        <v>368</v>
      </c>
      <c r="G426" s="59" t="s">
        <v>423</v>
      </c>
      <c r="H426" s="56">
        <v>12</v>
      </c>
      <c r="I426" s="64"/>
      <c r="J426" s="56"/>
    </row>
    <row r="427" spans="1:10" ht="12.75" customHeight="1">
      <c r="A427" s="68" t="s">
        <v>418</v>
      </c>
      <c r="B427" s="60">
        <v>50112048</v>
      </c>
      <c r="C427" s="68"/>
      <c r="D427" s="68"/>
      <c r="E427" s="68" t="s">
        <v>1230</v>
      </c>
      <c r="F427" s="80" t="s">
        <v>919</v>
      </c>
      <c r="G427" s="106" t="s">
        <v>473</v>
      </c>
      <c r="H427" s="56">
        <v>17</v>
      </c>
      <c r="I427" s="64"/>
      <c r="J427" s="66"/>
    </row>
    <row r="428" spans="1:10" ht="12.75" customHeight="1">
      <c r="A428" s="68" t="s">
        <v>480</v>
      </c>
      <c r="B428" s="68">
        <v>50112205</v>
      </c>
      <c r="C428" s="68"/>
      <c r="D428" s="68" t="s">
        <v>1234</v>
      </c>
      <c r="E428" s="68" t="s">
        <v>1235</v>
      </c>
      <c r="F428" s="80" t="s">
        <v>368</v>
      </c>
      <c r="G428" s="106" t="s">
        <v>473</v>
      </c>
      <c r="H428" s="56">
        <v>25</v>
      </c>
      <c r="I428" s="64">
        <v>10</v>
      </c>
      <c r="J428" s="56" t="s">
        <v>490</v>
      </c>
    </row>
    <row r="429" spans="1:10" ht="12.75" customHeight="1">
      <c r="A429" s="68" t="s">
        <v>418</v>
      </c>
      <c r="B429" s="68">
        <v>50110860</v>
      </c>
      <c r="C429" s="68"/>
      <c r="D429" s="68" t="s">
        <v>1181</v>
      </c>
      <c r="E429" s="68" t="s">
        <v>1187</v>
      </c>
      <c r="F429" s="80" t="s">
        <v>368</v>
      </c>
      <c r="G429" s="106" t="s">
        <v>423</v>
      </c>
      <c r="H429" s="56">
        <v>12</v>
      </c>
      <c r="I429" s="64">
        <v>23</v>
      </c>
      <c r="J429" s="56"/>
    </row>
    <row r="430" spans="1:10" ht="12.75" customHeight="1">
      <c r="A430" s="59" t="s">
        <v>603</v>
      </c>
      <c r="B430" s="59"/>
      <c r="C430" s="60">
        <v>241000339</v>
      </c>
      <c r="D430" s="59"/>
      <c r="E430" s="84" t="s">
        <v>918</v>
      </c>
      <c r="F430" s="94" t="s">
        <v>919</v>
      </c>
      <c r="G430" s="60"/>
      <c r="H430" s="56"/>
      <c r="I430" s="64"/>
      <c r="J430" s="146" t="s">
        <v>920</v>
      </c>
    </row>
    <row r="431" spans="1:10" ht="12.75" customHeight="1">
      <c r="A431" s="59" t="s">
        <v>603</v>
      </c>
      <c r="B431" s="59"/>
      <c r="C431" s="60">
        <v>241000338</v>
      </c>
      <c r="D431" s="59"/>
      <c r="E431" s="59" t="s">
        <v>917</v>
      </c>
      <c r="F431" s="64" t="s">
        <v>368</v>
      </c>
      <c r="G431" s="60"/>
      <c r="H431" s="56"/>
      <c r="I431" s="64"/>
      <c r="J431" s="146"/>
    </row>
    <row r="432" spans="1:10" ht="12.75" customHeight="1">
      <c r="A432" s="59" t="s">
        <v>435</v>
      </c>
      <c r="B432" s="60"/>
      <c r="C432" s="60">
        <v>241000039</v>
      </c>
      <c r="D432" s="59"/>
      <c r="E432" s="59" t="s">
        <v>479</v>
      </c>
      <c r="F432" s="64" t="s">
        <v>368</v>
      </c>
      <c r="G432" s="59" t="s">
        <v>437</v>
      </c>
      <c r="H432" s="56">
        <v>196</v>
      </c>
      <c r="I432" s="64"/>
      <c r="J432" s="56"/>
    </row>
    <row r="433" spans="1:10" ht="12.75" customHeight="1">
      <c r="A433" s="59" t="s">
        <v>603</v>
      </c>
      <c r="B433" s="59"/>
      <c r="C433" s="60">
        <v>241000337</v>
      </c>
      <c r="D433" s="59"/>
      <c r="E433" s="59" t="s">
        <v>916</v>
      </c>
      <c r="F433" s="64" t="s">
        <v>368</v>
      </c>
      <c r="G433" s="60"/>
      <c r="H433" s="56"/>
      <c r="I433" s="64"/>
      <c r="J433" s="146"/>
    </row>
    <row r="434" spans="1:10" ht="12.75" customHeight="1">
      <c r="A434" s="59" t="s">
        <v>399</v>
      </c>
      <c r="B434" s="59"/>
      <c r="C434" s="60">
        <v>241000271</v>
      </c>
      <c r="D434" s="59"/>
      <c r="E434" s="59" t="s">
        <v>815</v>
      </c>
      <c r="F434" s="64" t="s">
        <v>368</v>
      </c>
      <c r="G434" s="59" t="s">
        <v>816</v>
      </c>
      <c r="H434" s="56"/>
      <c r="I434" s="64"/>
      <c r="J434" s="143"/>
    </row>
    <row r="435" spans="1:10" ht="12.75" customHeight="1">
      <c r="A435" s="68" t="s">
        <v>1037</v>
      </c>
      <c r="B435" s="68">
        <v>50110184</v>
      </c>
      <c r="C435" s="68"/>
      <c r="D435" s="68" t="s">
        <v>1100</v>
      </c>
      <c r="E435" s="68" t="s">
        <v>1101</v>
      </c>
      <c r="F435" s="80" t="s">
        <v>368</v>
      </c>
      <c r="G435" s="106" t="s">
        <v>724</v>
      </c>
      <c r="H435" s="56">
        <v>84</v>
      </c>
      <c r="I435" s="64"/>
      <c r="J435" s="56"/>
    </row>
    <row r="436" spans="1:10" ht="12" customHeight="1">
      <c r="A436" s="59" t="s">
        <v>418</v>
      </c>
      <c r="B436" s="60"/>
      <c r="C436" s="60">
        <v>241000011</v>
      </c>
      <c r="D436" s="59" t="s">
        <v>421</v>
      </c>
      <c r="E436" s="59" t="s">
        <v>422</v>
      </c>
      <c r="F436" s="64" t="s">
        <v>368</v>
      </c>
      <c r="G436" s="59" t="s">
        <v>423</v>
      </c>
      <c r="H436" s="56">
        <v>43</v>
      </c>
      <c r="I436" s="64"/>
      <c r="J436" s="66"/>
    </row>
    <row r="437" spans="1:10" ht="12.75" customHeight="1">
      <c r="A437" s="59" t="s">
        <v>684</v>
      </c>
      <c r="B437" s="59"/>
      <c r="C437" s="60">
        <v>241000320</v>
      </c>
      <c r="D437" s="59"/>
      <c r="E437" s="59" t="s">
        <v>892</v>
      </c>
      <c r="F437" s="64" t="s">
        <v>368</v>
      </c>
      <c r="G437" s="60" t="s">
        <v>809</v>
      </c>
      <c r="H437" s="56"/>
      <c r="I437" s="64"/>
      <c r="J437" s="146"/>
    </row>
    <row r="438" spans="1:10" ht="12.75" customHeight="1">
      <c r="A438" s="116" t="s">
        <v>418</v>
      </c>
      <c r="B438" s="59"/>
      <c r="C438" s="130">
        <v>241000283</v>
      </c>
      <c r="D438" s="59"/>
      <c r="E438" s="59" t="s">
        <v>831</v>
      </c>
      <c r="F438" s="133" t="s">
        <v>368</v>
      </c>
      <c r="G438" s="59" t="s">
        <v>825</v>
      </c>
      <c r="H438" s="56"/>
      <c r="I438" s="64"/>
      <c r="J438" s="143"/>
    </row>
    <row r="439" spans="1:10" ht="12.75" customHeight="1">
      <c r="A439" s="119" t="s">
        <v>418</v>
      </c>
      <c r="B439" s="68">
        <v>50110071</v>
      </c>
      <c r="C439" s="117"/>
      <c r="D439" s="68" t="s">
        <v>1067</v>
      </c>
      <c r="E439" s="68" t="s">
        <v>1068</v>
      </c>
      <c r="F439" s="118" t="s">
        <v>368</v>
      </c>
      <c r="G439" s="106" t="s">
        <v>416</v>
      </c>
      <c r="H439" s="56"/>
      <c r="I439" s="64"/>
      <c r="J439" s="56"/>
    </row>
    <row r="440" spans="1:10" ht="12.75" customHeight="1">
      <c r="A440" s="119" t="s">
        <v>418</v>
      </c>
      <c r="B440" s="68">
        <v>50112240</v>
      </c>
      <c r="C440" s="117"/>
      <c r="D440" s="68" t="s">
        <v>1238</v>
      </c>
      <c r="E440" s="68" t="s">
        <v>1239</v>
      </c>
      <c r="F440" s="118" t="s">
        <v>368</v>
      </c>
      <c r="G440" s="106" t="s">
        <v>473</v>
      </c>
      <c r="H440" s="56">
        <v>27</v>
      </c>
      <c r="I440" s="64"/>
      <c r="J440" s="56"/>
    </row>
    <row r="441" spans="1:10" ht="12.75" customHeight="1">
      <c r="A441" s="119" t="s">
        <v>399</v>
      </c>
      <c r="B441" s="68">
        <v>50110131</v>
      </c>
      <c r="C441" s="129" t="s">
        <v>1339</v>
      </c>
      <c r="D441" s="108" t="s">
        <v>1096</v>
      </c>
      <c r="E441" s="68" t="s">
        <v>1340</v>
      </c>
      <c r="F441" s="118" t="s">
        <v>1003</v>
      </c>
      <c r="G441" s="59"/>
      <c r="H441" s="56"/>
      <c r="I441" s="64"/>
      <c r="J441" s="66"/>
    </row>
    <row r="442" spans="1:10" ht="12.75" customHeight="1">
      <c r="A442" s="126" t="s">
        <v>399</v>
      </c>
      <c r="B442" s="108">
        <v>50110139</v>
      </c>
      <c r="C442" s="129"/>
      <c r="D442" s="108" t="s">
        <v>1095</v>
      </c>
      <c r="E442" s="108" t="s">
        <v>1096</v>
      </c>
      <c r="F442" s="132" t="s">
        <v>368</v>
      </c>
      <c r="G442" s="110" t="s">
        <v>1003</v>
      </c>
      <c r="H442" s="56">
        <v>319</v>
      </c>
      <c r="I442" s="64"/>
      <c r="J442" s="76" t="s">
        <v>979</v>
      </c>
    </row>
    <row r="443" spans="1:10" ht="12.75" customHeight="1">
      <c r="A443" s="116" t="s">
        <v>418</v>
      </c>
      <c r="B443" s="60"/>
      <c r="C443" s="130">
        <v>241000058</v>
      </c>
      <c r="D443" s="59"/>
      <c r="E443" s="59" t="s">
        <v>506</v>
      </c>
      <c r="F443" s="133" t="s">
        <v>368</v>
      </c>
      <c r="G443" s="59" t="s">
        <v>416</v>
      </c>
      <c r="H443" s="56">
        <v>295</v>
      </c>
      <c r="I443" s="64"/>
      <c r="J443" s="56"/>
    </row>
    <row r="444" spans="1:10" ht="12.75" customHeight="1">
      <c r="A444" s="116" t="s">
        <v>550</v>
      </c>
      <c r="B444" s="59"/>
      <c r="C444" s="130">
        <v>241000220</v>
      </c>
      <c r="D444" s="59"/>
      <c r="E444" s="59" t="s">
        <v>739</v>
      </c>
      <c r="F444" s="64" t="s">
        <v>368</v>
      </c>
      <c r="G444" s="59" t="s">
        <v>478</v>
      </c>
      <c r="H444" s="56">
        <v>25</v>
      </c>
      <c r="I444" s="64"/>
      <c r="J444" s="66" t="s">
        <v>671</v>
      </c>
    </row>
    <row r="445" spans="1:10" ht="12.75" customHeight="1">
      <c r="A445" s="119" t="s">
        <v>550</v>
      </c>
      <c r="B445" s="68">
        <v>50110310</v>
      </c>
      <c r="C445" s="68"/>
      <c r="D445" s="68" t="s">
        <v>1147</v>
      </c>
      <c r="E445" s="68" t="s">
        <v>1148</v>
      </c>
      <c r="F445" s="80" t="s">
        <v>368</v>
      </c>
      <c r="G445" s="106" t="s">
        <v>473</v>
      </c>
      <c r="H445" s="56">
        <v>19</v>
      </c>
      <c r="I445" s="64"/>
      <c r="J445" s="56"/>
    </row>
    <row r="446" spans="1:10" ht="12.75" customHeight="1">
      <c r="A446" s="68" t="s">
        <v>550</v>
      </c>
      <c r="B446" s="68">
        <v>50110311</v>
      </c>
      <c r="C446" s="68"/>
      <c r="D446" s="68" t="s">
        <v>1149</v>
      </c>
      <c r="E446" s="68" t="s">
        <v>1150</v>
      </c>
      <c r="F446" s="64" t="s">
        <v>368</v>
      </c>
      <c r="G446" s="59" t="s">
        <v>473</v>
      </c>
      <c r="H446" s="56">
        <v>11</v>
      </c>
      <c r="I446" s="64"/>
      <c r="J446" s="56"/>
    </row>
    <row r="447" spans="1:10" ht="12.75" customHeight="1">
      <c r="A447" s="59" t="s">
        <v>550</v>
      </c>
      <c r="B447" s="60">
        <v>50110312</v>
      </c>
      <c r="C447" s="68"/>
      <c r="D447" s="68"/>
      <c r="E447" s="68" t="s">
        <v>1151</v>
      </c>
      <c r="F447" s="80" t="s">
        <v>368</v>
      </c>
      <c r="G447" s="106" t="s">
        <v>1056</v>
      </c>
      <c r="H447" s="56"/>
      <c r="I447" s="64"/>
      <c r="J447" s="56"/>
    </row>
    <row r="448" spans="1:10" ht="12.75" customHeight="1">
      <c r="A448" s="59" t="s">
        <v>550</v>
      </c>
      <c r="B448" s="60">
        <v>50110313</v>
      </c>
      <c r="C448" s="68"/>
      <c r="D448" s="68"/>
      <c r="E448" s="68" t="s">
        <v>1152</v>
      </c>
      <c r="F448" s="80" t="s">
        <v>368</v>
      </c>
      <c r="G448" s="106" t="s">
        <v>1056</v>
      </c>
      <c r="H448" s="56"/>
      <c r="I448" s="64"/>
      <c r="J448" s="56"/>
    </row>
    <row r="449" spans="1:10" ht="12.75" customHeight="1">
      <c r="A449" s="59" t="s">
        <v>418</v>
      </c>
      <c r="B449" s="59"/>
      <c r="C449" s="60">
        <v>241000314</v>
      </c>
      <c r="D449" s="59"/>
      <c r="E449" s="59" t="s">
        <v>880</v>
      </c>
      <c r="F449" s="64" t="s">
        <v>368</v>
      </c>
      <c r="G449" s="59" t="s">
        <v>423</v>
      </c>
      <c r="H449" s="56"/>
      <c r="I449" s="64"/>
      <c r="J449" s="146"/>
    </row>
    <row r="450" spans="1:10" ht="12.75" customHeight="1">
      <c r="A450" s="59" t="s">
        <v>442</v>
      </c>
      <c r="B450" s="59"/>
      <c r="C450" s="60">
        <v>241000207</v>
      </c>
      <c r="D450" s="59"/>
      <c r="E450" s="85" t="s">
        <v>719</v>
      </c>
      <c r="F450" s="64" t="s">
        <v>186</v>
      </c>
      <c r="G450" s="59" t="s">
        <v>711</v>
      </c>
      <c r="H450" s="56"/>
      <c r="I450" s="64"/>
      <c r="J450" s="60" t="s">
        <v>720</v>
      </c>
    </row>
    <row r="451" spans="1:10" ht="12.75" customHeight="1">
      <c r="A451" s="68" t="s">
        <v>903</v>
      </c>
      <c r="B451" s="68">
        <v>40804410</v>
      </c>
      <c r="C451" s="68"/>
      <c r="D451" s="68" t="s">
        <v>1004</v>
      </c>
      <c r="E451" s="68" t="s">
        <v>1005</v>
      </c>
      <c r="F451" s="80" t="s">
        <v>466</v>
      </c>
      <c r="G451" s="106" t="s">
        <v>1006</v>
      </c>
      <c r="H451" s="56"/>
      <c r="I451" s="64"/>
      <c r="J451" s="111" t="s">
        <v>979</v>
      </c>
    </row>
    <row r="452" spans="1:10" ht="12.75" customHeight="1">
      <c r="A452" s="59" t="s">
        <v>965</v>
      </c>
      <c r="B452" s="59"/>
      <c r="C452" s="60">
        <v>241000367</v>
      </c>
      <c r="D452" s="59"/>
      <c r="E452" s="59" t="s">
        <v>970</v>
      </c>
      <c r="F452" s="64"/>
      <c r="G452" s="60" t="s">
        <v>969</v>
      </c>
      <c r="H452" s="56"/>
      <c r="I452" s="64"/>
      <c r="J452" s="146"/>
    </row>
    <row r="453" spans="1:10" ht="12.75" customHeight="1">
      <c r="A453" s="59" t="s">
        <v>442</v>
      </c>
      <c r="B453" s="60"/>
      <c r="C453" s="60">
        <v>241000032</v>
      </c>
      <c r="D453" s="59"/>
      <c r="E453" s="59" t="s">
        <v>468</v>
      </c>
      <c r="F453" s="64" t="s">
        <v>466</v>
      </c>
      <c r="G453" s="59" t="s">
        <v>445</v>
      </c>
      <c r="H453" s="56">
        <v>7</v>
      </c>
      <c r="I453" s="64"/>
      <c r="J453" s="66"/>
    </row>
    <row r="454" spans="1:10" ht="12.75" customHeight="1">
      <c r="A454" s="59" t="s">
        <v>442</v>
      </c>
      <c r="B454" s="60"/>
      <c r="C454" s="60">
        <v>241000033</v>
      </c>
      <c r="D454" s="59"/>
      <c r="E454" s="59" t="s">
        <v>469</v>
      </c>
      <c r="F454" s="64" t="s">
        <v>466</v>
      </c>
      <c r="G454" s="59" t="s">
        <v>445</v>
      </c>
      <c r="H454" s="56">
        <v>318</v>
      </c>
      <c r="I454" s="64"/>
      <c r="J454" s="66" t="s">
        <v>470</v>
      </c>
    </row>
    <row r="455" spans="1:10" ht="12.75" customHeight="1">
      <c r="A455" s="59" t="s">
        <v>442</v>
      </c>
      <c r="B455" s="60"/>
      <c r="C455" s="60">
        <v>241000037</v>
      </c>
      <c r="D455" s="59"/>
      <c r="E455" s="59" t="s">
        <v>476</v>
      </c>
      <c r="F455" s="64" t="s">
        <v>466</v>
      </c>
      <c r="G455" s="59" t="s">
        <v>445</v>
      </c>
      <c r="H455" s="56">
        <v>82</v>
      </c>
      <c r="I455" s="64"/>
      <c r="J455" s="66" t="s">
        <v>470</v>
      </c>
    </row>
    <row r="456" spans="1:10" ht="12.75" customHeight="1">
      <c r="A456" s="59" t="s">
        <v>442</v>
      </c>
      <c r="B456" s="60"/>
      <c r="C456" s="60">
        <v>241000061</v>
      </c>
      <c r="D456" s="59"/>
      <c r="E456" s="59" t="s">
        <v>510</v>
      </c>
      <c r="F456" s="64" t="s">
        <v>466</v>
      </c>
      <c r="G456" s="59" t="s">
        <v>445</v>
      </c>
      <c r="H456" s="56">
        <v>35</v>
      </c>
      <c r="I456" s="64"/>
      <c r="J456" s="56"/>
    </row>
    <row r="457" spans="1:10" ht="12.75" customHeight="1">
      <c r="A457" s="59" t="s">
        <v>442</v>
      </c>
      <c r="B457" s="60"/>
      <c r="C457" s="60">
        <v>241000031</v>
      </c>
      <c r="D457" s="59"/>
      <c r="E457" s="59" t="s">
        <v>465</v>
      </c>
      <c r="F457" s="64" t="s">
        <v>466</v>
      </c>
      <c r="G457" s="59" t="s">
        <v>445</v>
      </c>
      <c r="H457" s="56">
        <v>317</v>
      </c>
      <c r="I457" s="64"/>
      <c r="J457" s="66" t="s">
        <v>467</v>
      </c>
    </row>
    <row r="458" spans="1:10" ht="12.75" customHeight="1">
      <c r="A458" s="59" t="s">
        <v>684</v>
      </c>
      <c r="B458" s="59"/>
      <c r="C458" s="60">
        <v>241000191</v>
      </c>
      <c r="D458" s="59"/>
      <c r="E458" s="84" t="s">
        <v>687</v>
      </c>
      <c r="F458" s="64" t="s">
        <v>466</v>
      </c>
      <c r="G458" s="60" t="s">
        <v>683</v>
      </c>
      <c r="H458" s="56"/>
      <c r="I458" s="64"/>
      <c r="J458" s="56"/>
    </row>
    <row r="459" spans="1:10" ht="12.75" customHeight="1">
      <c r="A459" s="59" t="s">
        <v>442</v>
      </c>
      <c r="B459" s="60"/>
      <c r="C459" s="60">
        <v>241000035</v>
      </c>
      <c r="D459" s="59"/>
      <c r="E459" s="59" t="s">
        <v>472</v>
      </c>
      <c r="F459" s="64" t="s">
        <v>466</v>
      </c>
      <c r="G459" s="59" t="s">
        <v>473</v>
      </c>
      <c r="H459" s="56">
        <v>306</v>
      </c>
      <c r="I459" s="64"/>
      <c r="J459" s="66"/>
    </row>
    <row r="460" spans="1:10" ht="12.75" customHeight="1">
      <c r="A460" s="59" t="s">
        <v>921</v>
      </c>
      <c r="B460" s="59"/>
      <c r="C460" s="60">
        <v>241000340</v>
      </c>
      <c r="D460" s="59"/>
      <c r="E460" s="59" t="s">
        <v>922</v>
      </c>
      <c r="F460" s="64" t="s">
        <v>405</v>
      </c>
      <c r="G460" s="60"/>
      <c r="H460" s="56"/>
      <c r="I460" s="64"/>
      <c r="J460" s="146"/>
    </row>
    <row r="461" spans="1:10" ht="12.75" customHeight="1">
      <c r="A461" s="59" t="s">
        <v>442</v>
      </c>
      <c r="B461" s="59"/>
      <c r="C461" s="60">
        <v>241000150</v>
      </c>
      <c r="D461" s="59"/>
      <c r="E461" s="59" t="s">
        <v>618</v>
      </c>
      <c r="F461" s="64" t="s">
        <v>466</v>
      </c>
      <c r="G461" s="59" t="s">
        <v>445</v>
      </c>
      <c r="H461" s="56">
        <v>91</v>
      </c>
      <c r="I461" s="64"/>
      <c r="J461" s="56"/>
    </row>
    <row r="462" spans="1:10" ht="12.75" customHeight="1">
      <c r="A462" s="59" t="s">
        <v>442</v>
      </c>
      <c r="B462" s="60"/>
      <c r="C462" s="60">
        <v>241000036</v>
      </c>
      <c r="D462" s="59"/>
      <c r="E462" s="59" t="s">
        <v>474</v>
      </c>
      <c r="F462" s="64" t="s">
        <v>466</v>
      </c>
      <c r="G462" s="59" t="s">
        <v>445</v>
      </c>
      <c r="H462" s="56">
        <v>116</v>
      </c>
      <c r="I462" s="64"/>
      <c r="J462" s="66" t="s">
        <v>475</v>
      </c>
    </row>
    <row r="463" spans="1:10" ht="12.75" customHeight="1">
      <c r="A463" s="59" t="s">
        <v>663</v>
      </c>
      <c r="B463" s="59"/>
      <c r="C463" s="60">
        <v>241000360</v>
      </c>
      <c r="D463" s="59"/>
      <c r="E463" s="59" t="s">
        <v>955</v>
      </c>
      <c r="F463" s="64"/>
      <c r="G463" s="60"/>
      <c r="H463" s="56"/>
      <c r="I463" s="64"/>
      <c r="J463" s="146" t="s">
        <v>956</v>
      </c>
    </row>
    <row r="464" spans="1:10" ht="12.75" customHeight="1">
      <c r="A464" s="59" t="s">
        <v>442</v>
      </c>
      <c r="B464" s="59"/>
      <c r="C464" s="60">
        <v>241000188</v>
      </c>
      <c r="D464" s="59"/>
      <c r="E464" s="59" t="s">
        <v>677</v>
      </c>
      <c r="F464" s="64" t="s">
        <v>678</v>
      </c>
      <c r="G464" s="59" t="s">
        <v>445</v>
      </c>
      <c r="H464" s="56">
        <v>113</v>
      </c>
      <c r="I464" s="64"/>
      <c r="J464" s="56" t="s">
        <v>679</v>
      </c>
    </row>
    <row r="465" spans="1:10" ht="12.75" customHeight="1">
      <c r="A465" s="59" t="s">
        <v>442</v>
      </c>
      <c r="B465" s="60"/>
      <c r="C465" s="60">
        <v>241000034</v>
      </c>
      <c r="D465" s="59"/>
      <c r="E465" s="59" t="s">
        <v>471</v>
      </c>
      <c r="F465" s="64" t="s">
        <v>466</v>
      </c>
      <c r="G465" s="59" t="s">
        <v>445</v>
      </c>
      <c r="H465" s="56">
        <v>207</v>
      </c>
      <c r="I465" s="64"/>
      <c r="J465" s="66"/>
    </row>
    <row r="466" spans="1:10" ht="12.75" customHeight="1">
      <c r="A466" s="59" t="s">
        <v>936</v>
      </c>
      <c r="B466" s="59"/>
      <c r="C466" s="60">
        <v>241000361</v>
      </c>
      <c r="D466" s="59"/>
      <c r="E466" s="59" t="s">
        <v>957</v>
      </c>
      <c r="F466" s="64"/>
      <c r="G466" s="60"/>
      <c r="H466" s="56"/>
      <c r="I466" s="64"/>
      <c r="J466" s="146" t="s">
        <v>958</v>
      </c>
    </row>
    <row r="467" spans="1:10" ht="12.75" customHeight="1">
      <c r="A467" s="59" t="s">
        <v>418</v>
      </c>
      <c r="B467" s="59"/>
      <c r="C467" s="60">
        <v>241000289</v>
      </c>
      <c r="D467" s="59"/>
      <c r="E467" s="59" t="s">
        <v>837</v>
      </c>
      <c r="F467" s="64" t="s">
        <v>838</v>
      </c>
      <c r="G467" s="59" t="s">
        <v>825</v>
      </c>
      <c r="H467" s="56"/>
      <c r="I467" s="64"/>
      <c r="J467" s="143"/>
    </row>
    <row r="468" spans="1:10" ht="12.75" customHeight="1">
      <c r="A468" s="68" t="s">
        <v>663</v>
      </c>
      <c r="B468" s="68">
        <v>50110314</v>
      </c>
      <c r="C468" s="68"/>
      <c r="D468" s="68" t="s">
        <v>1153</v>
      </c>
      <c r="E468" s="68" t="s">
        <v>1154</v>
      </c>
      <c r="F468" s="64" t="s">
        <v>1155</v>
      </c>
      <c r="G468" s="59" t="s">
        <v>1000</v>
      </c>
      <c r="H468" s="56"/>
      <c r="I468" s="64"/>
      <c r="J468" s="56"/>
    </row>
    <row r="469" spans="1:10" ht="12.75" customHeight="1">
      <c r="A469" s="73" t="s">
        <v>439</v>
      </c>
      <c r="B469" s="73">
        <v>50110034</v>
      </c>
      <c r="C469" s="108"/>
      <c r="D469" s="68"/>
      <c r="E469" s="72" t="s">
        <v>1045</v>
      </c>
      <c r="F469" s="109" t="s">
        <v>405</v>
      </c>
      <c r="G469" s="110" t="s">
        <v>441</v>
      </c>
      <c r="H469" s="56">
        <v>17</v>
      </c>
      <c r="I469" s="64"/>
      <c r="J469" s="76" t="s">
        <v>1046</v>
      </c>
    </row>
    <row r="470" spans="1:10" ht="12.75" customHeight="1">
      <c r="A470" s="60" t="s">
        <v>439</v>
      </c>
      <c r="B470" s="60">
        <v>66600239</v>
      </c>
      <c r="C470" s="68"/>
      <c r="D470" s="68"/>
      <c r="E470" s="59" t="s">
        <v>1314</v>
      </c>
      <c r="F470" s="80" t="s">
        <v>405</v>
      </c>
      <c r="G470" s="106" t="s">
        <v>441</v>
      </c>
      <c r="H470" s="56"/>
      <c r="I470" s="64"/>
      <c r="J470" s="56"/>
    </row>
    <row r="471" spans="1:10">
      <c r="A471" s="60" t="s">
        <v>439</v>
      </c>
      <c r="B471" s="60">
        <v>66600228</v>
      </c>
      <c r="C471" s="68"/>
      <c r="D471" s="68"/>
      <c r="E471" s="59" t="s">
        <v>1310</v>
      </c>
      <c r="F471" s="80" t="s">
        <v>405</v>
      </c>
      <c r="G471" s="106" t="s">
        <v>441</v>
      </c>
      <c r="H471" s="56"/>
      <c r="I471" s="64"/>
      <c r="J471" s="56"/>
    </row>
    <row r="472" spans="1:10">
      <c r="A472" s="60" t="s">
        <v>439</v>
      </c>
      <c r="B472" s="60">
        <v>66600233</v>
      </c>
      <c r="C472" s="68"/>
      <c r="D472" s="68"/>
      <c r="E472" s="59" t="s">
        <v>1313</v>
      </c>
      <c r="F472" s="80" t="s">
        <v>405</v>
      </c>
      <c r="G472" s="106" t="s">
        <v>441</v>
      </c>
      <c r="H472" s="56"/>
      <c r="I472" s="64"/>
      <c r="J472" s="56"/>
    </row>
    <row r="473" spans="1:10">
      <c r="A473" s="60" t="s">
        <v>439</v>
      </c>
      <c r="B473" s="60">
        <v>66600231</v>
      </c>
      <c r="C473" s="68"/>
      <c r="D473" s="68"/>
      <c r="E473" s="59" t="s">
        <v>1311</v>
      </c>
      <c r="F473" s="80" t="s">
        <v>405</v>
      </c>
      <c r="G473" s="106" t="s">
        <v>441</v>
      </c>
      <c r="H473" s="56"/>
      <c r="I473" s="64"/>
      <c r="J473" s="56"/>
    </row>
    <row r="474" spans="1:10">
      <c r="A474" s="60" t="s">
        <v>439</v>
      </c>
      <c r="B474" s="60">
        <v>66600362</v>
      </c>
      <c r="C474" s="68"/>
      <c r="D474" s="68"/>
      <c r="E474" s="59" t="s">
        <v>1322</v>
      </c>
      <c r="F474" s="80" t="s">
        <v>405</v>
      </c>
      <c r="G474" s="106" t="s">
        <v>441</v>
      </c>
      <c r="H474" s="56"/>
      <c r="I474" s="64"/>
      <c r="J474" s="56"/>
    </row>
    <row r="475" spans="1:10">
      <c r="A475" s="60" t="s">
        <v>439</v>
      </c>
      <c r="B475" s="60">
        <v>50115001</v>
      </c>
      <c r="C475" s="68"/>
      <c r="D475" s="68"/>
      <c r="E475" s="59" t="s">
        <v>1271</v>
      </c>
      <c r="F475" s="80" t="s">
        <v>405</v>
      </c>
      <c r="G475" s="106" t="s">
        <v>441</v>
      </c>
      <c r="H475" s="56">
        <v>11</v>
      </c>
      <c r="I475" s="64"/>
      <c r="J475" s="56"/>
    </row>
    <row r="476" spans="1:10" ht="12.75" customHeight="1">
      <c r="A476" s="60" t="s">
        <v>439</v>
      </c>
      <c r="B476" s="60">
        <v>50115000</v>
      </c>
      <c r="C476" s="68"/>
      <c r="D476" s="68"/>
      <c r="E476" s="59" t="s">
        <v>1270</v>
      </c>
      <c r="F476" s="80" t="s">
        <v>405</v>
      </c>
      <c r="G476" s="106" t="s">
        <v>441</v>
      </c>
      <c r="H476" s="56">
        <v>17</v>
      </c>
      <c r="I476" s="64"/>
      <c r="J476" s="56"/>
    </row>
    <row r="477" spans="1:10">
      <c r="A477" s="60" t="s">
        <v>439</v>
      </c>
      <c r="B477" s="60">
        <v>66600221</v>
      </c>
      <c r="C477" s="68"/>
      <c r="D477" s="68"/>
      <c r="E477" s="59" t="s">
        <v>1309</v>
      </c>
      <c r="F477" s="80" t="s">
        <v>405</v>
      </c>
      <c r="G477" s="106" t="s">
        <v>441</v>
      </c>
      <c r="H477" s="56">
        <v>1</v>
      </c>
      <c r="I477" s="64"/>
      <c r="J477" s="56"/>
    </row>
    <row r="478" spans="1:10" ht="12.75" customHeight="1">
      <c r="A478" s="60" t="s">
        <v>439</v>
      </c>
      <c r="B478" s="60">
        <v>66600232</v>
      </c>
      <c r="C478" s="68"/>
      <c r="D478" s="68"/>
      <c r="E478" s="59" t="s">
        <v>1312</v>
      </c>
      <c r="F478" s="80" t="s">
        <v>405</v>
      </c>
      <c r="G478" s="106" t="s">
        <v>441</v>
      </c>
      <c r="H478" s="56">
        <v>4</v>
      </c>
      <c r="I478" s="64"/>
      <c r="J478" s="56"/>
    </row>
    <row r="479" spans="1:10">
      <c r="A479" s="59" t="s">
        <v>418</v>
      </c>
      <c r="B479" s="59"/>
      <c r="C479" s="60">
        <v>241000154</v>
      </c>
      <c r="D479" s="59"/>
      <c r="E479" s="59" t="s">
        <v>624</v>
      </c>
      <c r="F479" s="64" t="s">
        <v>185</v>
      </c>
      <c r="G479" s="59" t="s">
        <v>620</v>
      </c>
      <c r="H479" s="56"/>
      <c r="I479" s="64"/>
      <c r="J479" s="56"/>
    </row>
    <row r="480" spans="1:10" ht="15">
      <c r="A480" s="59" t="s">
        <v>418</v>
      </c>
      <c r="B480" s="59"/>
      <c r="C480" s="60">
        <v>241000298</v>
      </c>
      <c r="D480" s="59"/>
      <c r="E480" s="59" t="s">
        <v>848</v>
      </c>
      <c r="F480" s="64" t="s">
        <v>185</v>
      </c>
      <c r="G480" s="59" t="s">
        <v>841</v>
      </c>
      <c r="H480" s="56"/>
      <c r="I480" s="64"/>
      <c r="J480" s="143"/>
    </row>
    <row r="481" spans="1:10" ht="12.75" customHeight="1">
      <c r="A481" s="59" t="s">
        <v>550</v>
      </c>
      <c r="B481" s="59"/>
      <c r="C481" s="60">
        <v>241000347</v>
      </c>
      <c r="D481" s="59"/>
      <c r="E481" s="59" t="s">
        <v>935</v>
      </c>
      <c r="F481" s="64"/>
      <c r="G481" s="60"/>
      <c r="H481" s="56"/>
      <c r="I481" s="64"/>
      <c r="J481" s="146"/>
    </row>
    <row r="482" spans="1:10" ht="12.75" customHeight="1">
      <c r="A482" s="59" t="s">
        <v>418</v>
      </c>
      <c r="B482" s="59"/>
      <c r="C482" s="60">
        <v>241000294</v>
      </c>
      <c r="D482" s="59"/>
      <c r="E482" s="59" t="s">
        <v>844</v>
      </c>
      <c r="F482" s="64" t="s">
        <v>185</v>
      </c>
      <c r="G482" s="59" t="s">
        <v>841</v>
      </c>
      <c r="H482" s="56"/>
      <c r="I482" s="64"/>
      <c r="J482" s="143"/>
    </row>
    <row r="483" spans="1:10" ht="12.75" customHeight="1">
      <c r="A483" s="59" t="s">
        <v>418</v>
      </c>
      <c r="B483" s="59"/>
      <c r="C483" s="60">
        <v>241000293</v>
      </c>
      <c r="D483" s="59"/>
      <c r="E483" s="59" t="s">
        <v>843</v>
      </c>
      <c r="F483" s="64" t="s">
        <v>185</v>
      </c>
      <c r="G483" s="59" t="s">
        <v>841</v>
      </c>
      <c r="H483" s="56"/>
      <c r="I483" s="64"/>
      <c r="J483" s="143"/>
    </row>
    <row r="484" spans="1:10" ht="15">
      <c r="A484" s="59" t="s">
        <v>418</v>
      </c>
      <c r="B484" s="59"/>
      <c r="C484" s="60">
        <v>241000296</v>
      </c>
      <c r="D484" s="59"/>
      <c r="E484" s="59" t="s">
        <v>846</v>
      </c>
      <c r="F484" s="64" t="s">
        <v>185</v>
      </c>
      <c r="G484" s="59" t="s">
        <v>841</v>
      </c>
      <c r="H484" s="56"/>
      <c r="I484" s="64"/>
      <c r="J484" s="143"/>
    </row>
    <row r="485" spans="1:10" ht="12.75" customHeight="1">
      <c r="A485" s="59" t="s">
        <v>418</v>
      </c>
      <c r="B485" s="59"/>
      <c r="C485" s="60">
        <v>241000292</v>
      </c>
      <c r="D485" s="59"/>
      <c r="E485" s="59" t="s">
        <v>842</v>
      </c>
      <c r="F485" s="64" t="s">
        <v>185</v>
      </c>
      <c r="G485" s="59" t="s">
        <v>841</v>
      </c>
      <c r="H485" s="56"/>
      <c r="I485" s="64"/>
      <c r="J485" s="143"/>
    </row>
    <row r="486" spans="1:10" ht="15">
      <c r="A486" s="59" t="s">
        <v>630</v>
      </c>
      <c r="B486" s="59"/>
      <c r="C486" s="60">
        <v>241000276</v>
      </c>
      <c r="D486" s="59"/>
      <c r="E486" s="59" t="s">
        <v>823</v>
      </c>
      <c r="F486" s="64" t="s">
        <v>185</v>
      </c>
      <c r="G486" s="59" t="s">
        <v>770</v>
      </c>
      <c r="H486" s="56"/>
      <c r="I486" s="64"/>
      <c r="J486" s="149"/>
    </row>
    <row r="487" spans="1:10" ht="12.75" customHeight="1">
      <c r="A487" s="59" t="s">
        <v>418</v>
      </c>
      <c r="B487" s="59"/>
      <c r="C487" s="60">
        <v>241000277</v>
      </c>
      <c r="D487" s="59"/>
      <c r="E487" s="59" t="s">
        <v>824</v>
      </c>
      <c r="F487" s="64" t="s">
        <v>185</v>
      </c>
      <c r="G487" s="59" t="s">
        <v>825</v>
      </c>
      <c r="H487" s="56"/>
      <c r="I487" s="64"/>
      <c r="J487" s="143"/>
    </row>
    <row r="488" spans="1:10">
      <c r="A488" s="59" t="s">
        <v>418</v>
      </c>
      <c r="B488" s="59"/>
      <c r="C488" s="60">
        <v>241000151</v>
      </c>
      <c r="D488" s="59"/>
      <c r="E488" s="59" t="s">
        <v>619</v>
      </c>
      <c r="F488" s="64" t="s">
        <v>185</v>
      </c>
      <c r="G488" s="59" t="s">
        <v>620</v>
      </c>
      <c r="H488" s="56"/>
      <c r="I488" s="64"/>
      <c r="J488" s="56"/>
    </row>
    <row r="489" spans="1:10">
      <c r="A489" s="59" t="s">
        <v>630</v>
      </c>
      <c r="B489" s="59"/>
      <c r="C489" s="60">
        <v>241000163</v>
      </c>
      <c r="D489" s="59"/>
      <c r="E489" s="59" t="s">
        <v>638</v>
      </c>
      <c r="F489" s="64" t="s">
        <v>185</v>
      </c>
      <c r="G489" s="59" t="s">
        <v>620</v>
      </c>
      <c r="H489" s="56"/>
      <c r="I489" s="64"/>
      <c r="J489" s="56"/>
    </row>
    <row r="490" spans="1:10" ht="15">
      <c r="A490" s="59" t="s">
        <v>418</v>
      </c>
      <c r="B490" s="59"/>
      <c r="C490" s="60">
        <v>241000297</v>
      </c>
      <c r="D490" s="59"/>
      <c r="E490" s="59" t="s">
        <v>847</v>
      </c>
      <c r="F490" s="64" t="s">
        <v>185</v>
      </c>
      <c r="G490" s="59" t="s">
        <v>841</v>
      </c>
      <c r="H490" s="56"/>
      <c r="I490" s="64"/>
      <c r="J490" s="143"/>
    </row>
    <row r="491" spans="1:10" ht="15">
      <c r="A491" s="59" t="s">
        <v>418</v>
      </c>
      <c r="B491" s="59"/>
      <c r="C491" s="60">
        <v>241000279</v>
      </c>
      <c r="D491" s="59"/>
      <c r="E491" s="59" t="s">
        <v>827</v>
      </c>
      <c r="F491" s="64" t="s">
        <v>185</v>
      </c>
      <c r="G491" s="59" t="s">
        <v>825</v>
      </c>
      <c r="H491" s="56"/>
      <c r="I491" s="64"/>
      <c r="J491" s="143"/>
    </row>
    <row r="492" spans="1:10" ht="15">
      <c r="A492" s="59" t="s">
        <v>418</v>
      </c>
      <c r="B492" s="59"/>
      <c r="C492" s="60">
        <v>241000295</v>
      </c>
      <c r="D492" s="59"/>
      <c r="E492" s="59" t="s">
        <v>845</v>
      </c>
      <c r="F492" s="64" t="s">
        <v>185</v>
      </c>
      <c r="G492" s="59" t="s">
        <v>841</v>
      </c>
      <c r="H492" s="56"/>
      <c r="I492" s="64"/>
      <c r="J492" s="143"/>
    </row>
    <row r="493" spans="1:10" ht="12.75" customHeight="1">
      <c r="A493" s="59" t="s">
        <v>480</v>
      </c>
      <c r="B493" s="59"/>
      <c r="C493" s="60">
        <v>241000291</v>
      </c>
      <c r="D493" s="59"/>
      <c r="E493" s="59" t="s">
        <v>840</v>
      </c>
      <c r="F493" s="64" t="s">
        <v>185</v>
      </c>
      <c r="G493" s="59" t="s">
        <v>841</v>
      </c>
      <c r="H493" s="56"/>
      <c r="I493" s="64"/>
      <c r="J493" s="143"/>
    </row>
    <row r="494" spans="1:10" ht="15">
      <c r="A494" s="59" t="s">
        <v>418</v>
      </c>
      <c r="B494" s="59"/>
      <c r="C494" s="60">
        <v>241000308</v>
      </c>
      <c r="D494" s="60">
        <v>241000308</v>
      </c>
      <c r="E494" s="59" t="s">
        <v>865</v>
      </c>
      <c r="F494" s="64" t="s">
        <v>185</v>
      </c>
      <c r="G494" s="89" t="s">
        <v>863</v>
      </c>
      <c r="H494" s="56"/>
      <c r="I494" s="64"/>
      <c r="J494" s="143"/>
    </row>
    <row r="495" spans="1:10">
      <c r="A495" s="59" t="s">
        <v>630</v>
      </c>
      <c r="B495" s="59"/>
      <c r="C495" s="60">
        <v>241000159</v>
      </c>
      <c r="D495" s="59"/>
      <c r="E495" s="59" t="s">
        <v>631</v>
      </c>
      <c r="F495" s="64" t="s">
        <v>185</v>
      </c>
      <c r="G495" s="59" t="s">
        <v>620</v>
      </c>
      <c r="H495" s="56"/>
      <c r="I495" s="64"/>
      <c r="J495" s="56"/>
    </row>
    <row r="496" spans="1:10" ht="12.75" customHeight="1">
      <c r="A496" s="59" t="s">
        <v>418</v>
      </c>
      <c r="B496" s="59"/>
      <c r="C496" s="60">
        <v>241000281</v>
      </c>
      <c r="D496" s="59"/>
      <c r="E496" s="59" t="s">
        <v>829</v>
      </c>
      <c r="F496" s="64" t="s">
        <v>185</v>
      </c>
      <c r="G496" s="59" t="s">
        <v>825</v>
      </c>
      <c r="H496" s="56"/>
      <c r="I496" s="64"/>
      <c r="J496" s="143"/>
    </row>
    <row r="497" spans="1:10" ht="12.75" customHeight="1">
      <c r="A497" s="59" t="s">
        <v>418</v>
      </c>
      <c r="B497" s="59"/>
      <c r="C497" s="60">
        <v>241000153</v>
      </c>
      <c r="D497" s="59"/>
      <c r="E497" s="59" t="s">
        <v>623</v>
      </c>
      <c r="F497" s="64" t="s">
        <v>185</v>
      </c>
      <c r="G497" s="59" t="s">
        <v>620</v>
      </c>
      <c r="H497" s="56"/>
      <c r="I497" s="64"/>
      <c r="J497" s="56"/>
    </row>
    <row r="498" spans="1:10" ht="12.75" customHeight="1">
      <c r="A498" s="59" t="s">
        <v>418</v>
      </c>
      <c r="B498" s="59"/>
      <c r="C498" s="60">
        <v>241000299</v>
      </c>
      <c r="D498" s="59"/>
      <c r="E498" s="59" t="s">
        <v>849</v>
      </c>
      <c r="F498" s="64" t="s">
        <v>185</v>
      </c>
      <c r="G498" s="59" t="s">
        <v>841</v>
      </c>
      <c r="H498" s="56"/>
      <c r="I498" s="64"/>
      <c r="J498" s="143"/>
    </row>
    <row r="499" spans="1:10" ht="12.75" customHeight="1">
      <c r="A499" s="59" t="s">
        <v>418</v>
      </c>
      <c r="B499" s="59"/>
      <c r="C499" s="60">
        <v>241000158</v>
      </c>
      <c r="D499" s="59"/>
      <c r="E499" s="59" t="s">
        <v>629</v>
      </c>
      <c r="F499" s="64" t="s">
        <v>185</v>
      </c>
      <c r="G499" s="59" t="s">
        <v>620</v>
      </c>
      <c r="H499" s="56"/>
      <c r="I499" s="64"/>
      <c r="J499" s="56"/>
    </row>
    <row r="500" spans="1:10" ht="12.75" customHeight="1">
      <c r="A500" s="59" t="s">
        <v>418</v>
      </c>
      <c r="B500" s="59"/>
      <c r="C500" s="60">
        <v>241000280</v>
      </c>
      <c r="D500" s="59"/>
      <c r="E500" s="59" t="s">
        <v>828</v>
      </c>
      <c r="F500" s="64" t="s">
        <v>185</v>
      </c>
      <c r="G500" s="59" t="s">
        <v>825</v>
      </c>
      <c r="H500" s="56"/>
      <c r="I500" s="64"/>
      <c r="J500" s="143"/>
    </row>
    <row r="501" spans="1:10" ht="12.75" customHeight="1">
      <c r="A501" s="59" t="s">
        <v>418</v>
      </c>
      <c r="B501" s="59"/>
      <c r="C501" s="60">
        <v>241000155</v>
      </c>
      <c r="D501" s="59"/>
      <c r="E501" s="59" t="s">
        <v>625</v>
      </c>
      <c r="F501" s="64" t="s">
        <v>185</v>
      </c>
      <c r="G501" s="59" t="s">
        <v>620</v>
      </c>
      <c r="H501" s="56"/>
      <c r="I501" s="64"/>
      <c r="J501" s="56"/>
    </row>
    <row r="502" spans="1:10" ht="12.75" customHeight="1">
      <c r="A502" s="59" t="s">
        <v>418</v>
      </c>
      <c r="B502" s="59"/>
      <c r="C502" s="60">
        <v>241000290</v>
      </c>
      <c r="D502" s="59"/>
      <c r="E502" s="59" t="s">
        <v>839</v>
      </c>
      <c r="F502" s="64" t="s">
        <v>185</v>
      </c>
      <c r="G502" s="59" t="s">
        <v>825</v>
      </c>
      <c r="H502" s="56"/>
      <c r="I502" s="64"/>
      <c r="J502" s="143"/>
    </row>
    <row r="503" spans="1:10" ht="12.75" customHeight="1">
      <c r="A503" s="59" t="s">
        <v>418</v>
      </c>
      <c r="B503" s="59"/>
      <c r="C503" s="60">
        <v>241000157</v>
      </c>
      <c r="D503" s="59"/>
      <c r="E503" s="59" t="s">
        <v>628</v>
      </c>
      <c r="F503" s="64" t="s">
        <v>185</v>
      </c>
      <c r="G503" s="59" t="s">
        <v>620</v>
      </c>
      <c r="H503" s="56"/>
      <c r="I503" s="64"/>
      <c r="J503" s="56"/>
    </row>
    <row r="504" spans="1:10" ht="12.75" customHeight="1">
      <c r="A504" s="59" t="s">
        <v>399</v>
      </c>
      <c r="B504" s="60"/>
      <c r="C504" s="60">
        <v>241000070</v>
      </c>
      <c r="D504" s="59"/>
      <c r="E504" s="59" t="s">
        <v>520</v>
      </c>
      <c r="F504" s="64" t="s">
        <v>521</v>
      </c>
      <c r="G504" s="59" t="s">
        <v>478</v>
      </c>
      <c r="H504" s="56">
        <v>3</v>
      </c>
      <c r="I504" s="64"/>
      <c r="J504" s="56"/>
    </row>
    <row r="505" spans="1:10" ht="12.75" customHeight="1">
      <c r="A505" s="59" t="s">
        <v>442</v>
      </c>
      <c r="B505" s="60"/>
      <c r="C505" s="60">
        <v>241000029</v>
      </c>
      <c r="D505" s="68"/>
      <c r="E505" s="68" t="s">
        <v>462</v>
      </c>
      <c r="F505" s="64" t="s">
        <v>457</v>
      </c>
      <c r="G505" s="59" t="s">
        <v>445</v>
      </c>
      <c r="H505" s="56">
        <v>733</v>
      </c>
      <c r="I505" s="64"/>
      <c r="J505" s="66"/>
    </row>
    <row r="506" spans="1:10" ht="12.75" customHeight="1">
      <c r="A506" s="68" t="s">
        <v>442</v>
      </c>
      <c r="B506" s="68">
        <v>51000502</v>
      </c>
      <c r="C506" s="68"/>
      <c r="D506" s="68" t="s">
        <v>1292</v>
      </c>
      <c r="E506" s="68" t="s">
        <v>462</v>
      </c>
      <c r="F506" s="80" t="s">
        <v>457</v>
      </c>
      <c r="G506" s="106" t="s">
        <v>445</v>
      </c>
      <c r="H506" s="56"/>
      <c r="I506" s="64"/>
      <c r="J506" s="56"/>
    </row>
    <row r="507" spans="1:10" ht="12.75" customHeight="1">
      <c r="A507" s="59" t="s">
        <v>442</v>
      </c>
      <c r="B507" s="60"/>
      <c r="C507" s="60">
        <v>241000027</v>
      </c>
      <c r="D507" s="59"/>
      <c r="E507" s="59" t="s">
        <v>458</v>
      </c>
      <c r="F507" s="64" t="s">
        <v>457</v>
      </c>
      <c r="G507" s="59" t="s">
        <v>445</v>
      </c>
      <c r="H507" s="56">
        <v>415</v>
      </c>
      <c r="I507" s="64"/>
      <c r="J507" s="66"/>
    </row>
    <row r="508" spans="1:10" ht="12.75" customHeight="1">
      <c r="A508" s="59" t="s">
        <v>442</v>
      </c>
      <c r="B508" s="60"/>
      <c r="C508" s="60">
        <v>241000104</v>
      </c>
      <c r="D508" s="59"/>
      <c r="E508" s="68" t="s">
        <v>561</v>
      </c>
      <c r="F508" s="64" t="s">
        <v>457</v>
      </c>
      <c r="G508" s="59" t="s">
        <v>445</v>
      </c>
      <c r="H508" s="56">
        <v>246</v>
      </c>
      <c r="I508" s="64"/>
      <c r="J508" s="56"/>
    </row>
    <row r="509" spans="1:10" ht="12.75" customHeight="1">
      <c r="A509" s="59" t="s">
        <v>442</v>
      </c>
      <c r="B509" s="60"/>
      <c r="C509" s="60">
        <v>241000030</v>
      </c>
      <c r="D509" s="68"/>
      <c r="E509" s="68" t="s">
        <v>463</v>
      </c>
      <c r="F509" s="64" t="s">
        <v>457</v>
      </c>
      <c r="G509" s="59" t="s">
        <v>445</v>
      </c>
      <c r="H509" s="56">
        <v>346</v>
      </c>
      <c r="I509" s="64"/>
      <c r="J509" s="66" t="s">
        <v>464</v>
      </c>
    </row>
    <row r="510" spans="1:10" ht="12.75" customHeight="1">
      <c r="A510" s="68" t="s">
        <v>442</v>
      </c>
      <c r="B510" s="68">
        <v>51000108</v>
      </c>
      <c r="C510" s="68"/>
      <c r="D510" s="68" t="s">
        <v>1290</v>
      </c>
      <c r="E510" s="68" t="s">
        <v>463</v>
      </c>
      <c r="F510" s="80" t="s">
        <v>457</v>
      </c>
      <c r="G510" s="106" t="s">
        <v>445</v>
      </c>
      <c r="H510" s="56"/>
      <c r="I510" s="64"/>
      <c r="J510" s="56"/>
    </row>
    <row r="511" spans="1:10" ht="12.75" customHeight="1">
      <c r="A511" s="59" t="s">
        <v>442</v>
      </c>
      <c r="B511" s="60"/>
      <c r="C511" s="60">
        <v>241000026</v>
      </c>
      <c r="D511" s="59"/>
      <c r="E511" s="59" t="s">
        <v>456</v>
      </c>
      <c r="F511" s="64" t="s">
        <v>457</v>
      </c>
      <c r="G511" s="59" t="s">
        <v>445</v>
      </c>
      <c r="H511" s="56">
        <v>464</v>
      </c>
      <c r="I511" s="64"/>
      <c r="J511" s="66"/>
    </row>
    <row r="512" spans="1:10" ht="12.75" customHeight="1">
      <c r="A512" s="68" t="s">
        <v>442</v>
      </c>
      <c r="B512" s="68">
        <v>50110063</v>
      </c>
      <c r="C512" s="68"/>
      <c r="D512" s="68" t="s">
        <v>1061</v>
      </c>
      <c r="E512" s="68" t="s">
        <v>1062</v>
      </c>
      <c r="F512" s="80" t="s">
        <v>457</v>
      </c>
      <c r="G512" s="106" t="s">
        <v>1063</v>
      </c>
      <c r="H512" s="56"/>
      <c r="I512" s="64"/>
      <c r="J512" s="56"/>
    </row>
    <row r="513" spans="1:10" ht="12.75" customHeight="1">
      <c r="A513" s="59" t="s">
        <v>442</v>
      </c>
      <c r="B513" s="60"/>
      <c r="C513" s="60">
        <v>241000062</v>
      </c>
      <c r="D513" s="59"/>
      <c r="E513" s="59" t="s">
        <v>511</v>
      </c>
      <c r="F513" s="64" t="s">
        <v>457</v>
      </c>
      <c r="G513" s="59" t="s">
        <v>445</v>
      </c>
      <c r="H513" s="56"/>
      <c r="I513" s="64"/>
      <c r="J513" s="56"/>
    </row>
    <row r="514" spans="1:10" ht="12.75" customHeight="1">
      <c r="A514" s="59" t="s">
        <v>442</v>
      </c>
      <c r="B514" s="60"/>
      <c r="C514" s="60">
        <v>241000028</v>
      </c>
      <c r="D514" s="68"/>
      <c r="E514" s="68" t="s">
        <v>459</v>
      </c>
      <c r="F514" s="64" t="s">
        <v>460</v>
      </c>
      <c r="G514" s="59" t="s">
        <v>445</v>
      </c>
      <c r="H514" s="56">
        <v>81</v>
      </c>
      <c r="I514" s="64"/>
      <c r="J514" s="66" t="s">
        <v>461</v>
      </c>
    </row>
    <row r="515" spans="1:10" ht="12.75" customHeight="1">
      <c r="A515" s="68" t="s">
        <v>442</v>
      </c>
      <c r="B515" s="68">
        <v>51000190</v>
      </c>
      <c r="C515" s="68"/>
      <c r="D515" s="68" t="s">
        <v>1291</v>
      </c>
      <c r="E515" s="68" t="s">
        <v>459</v>
      </c>
      <c r="F515" s="80" t="s">
        <v>457</v>
      </c>
      <c r="G515" s="106" t="s">
        <v>445</v>
      </c>
      <c r="H515" s="56"/>
      <c r="I515" s="64"/>
      <c r="J515" s="56"/>
    </row>
    <row r="516" spans="1:10" ht="12.75" customHeight="1">
      <c r="A516" s="59" t="s">
        <v>680</v>
      </c>
      <c r="B516" s="60">
        <v>60000354</v>
      </c>
      <c r="C516" s="68"/>
      <c r="D516" s="68"/>
      <c r="E516" s="68" t="s">
        <v>1308</v>
      </c>
      <c r="F516" s="80" t="s">
        <v>405</v>
      </c>
      <c r="G516" s="106" t="s">
        <v>606</v>
      </c>
      <c r="H516" s="56"/>
      <c r="I516" s="64"/>
      <c r="J516" s="56"/>
    </row>
    <row r="517" spans="1:10" ht="12.75" customHeight="1">
      <c r="A517" s="59" t="s">
        <v>413</v>
      </c>
      <c r="B517" s="60">
        <v>66600372</v>
      </c>
      <c r="C517" s="68"/>
      <c r="D517" s="68"/>
      <c r="E517" s="68" t="s">
        <v>1324</v>
      </c>
      <c r="F517" s="122" t="s">
        <v>1325</v>
      </c>
      <c r="G517" s="106" t="s">
        <v>445</v>
      </c>
      <c r="H517" s="56"/>
      <c r="I517" s="64"/>
      <c r="J517" s="56"/>
    </row>
    <row r="518" spans="1:10" ht="12.75" customHeight="1">
      <c r="A518" s="59" t="s">
        <v>746</v>
      </c>
      <c r="B518" s="59"/>
      <c r="C518" s="60">
        <v>241000226</v>
      </c>
      <c r="D518" s="59"/>
      <c r="E518" s="59" t="s">
        <v>747</v>
      </c>
      <c r="F518" s="64" t="s">
        <v>59</v>
      </c>
      <c r="G518" s="59" t="s">
        <v>445</v>
      </c>
      <c r="H518" s="56">
        <v>500</v>
      </c>
      <c r="I518" s="64"/>
      <c r="J518" s="66" t="s">
        <v>671</v>
      </c>
    </row>
    <row r="519" spans="1:10" ht="12.75" customHeight="1">
      <c r="A519" s="59" t="s">
        <v>903</v>
      </c>
      <c r="B519" s="60">
        <v>53460143</v>
      </c>
      <c r="C519" s="68"/>
      <c r="D519" s="68"/>
      <c r="E519" s="68" t="s">
        <v>1300</v>
      </c>
      <c r="F519" s="115" t="s">
        <v>1299</v>
      </c>
      <c r="G519" s="106" t="s">
        <v>969</v>
      </c>
      <c r="H519" s="56"/>
      <c r="I519" s="64"/>
      <c r="J519" s="56"/>
    </row>
    <row r="520" spans="1:10" ht="12.75" customHeight="1">
      <c r="A520" s="59" t="s">
        <v>413</v>
      </c>
      <c r="B520" s="59"/>
      <c r="C520" s="60">
        <v>241000318</v>
      </c>
      <c r="D520" s="59"/>
      <c r="E520" s="59" t="s">
        <v>886</v>
      </c>
      <c r="F520" s="64" t="s">
        <v>887</v>
      </c>
      <c r="G520" s="59" t="s">
        <v>809</v>
      </c>
      <c r="H520" s="56"/>
      <c r="I520" s="64"/>
      <c r="J520" s="146" t="s">
        <v>888</v>
      </c>
    </row>
    <row r="521" spans="1:10" ht="12.75" customHeight="1">
      <c r="A521" s="68" t="s">
        <v>413</v>
      </c>
      <c r="B521" s="68">
        <v>50110260</v>
      </c>
      <c r="C521" s="68"/>
      <c r="D521" s="68" t="s">
        <v>1129</v>
      </c>
      <c r="E521" s="68" t="s">
        <v>1130</v>
      </c>
      <c r="F521" s="112" t="s">
        <v>1131</v>
      </c>
      <c r="G521" s="113" t="s">
        <v>416</v>
      </c>
      <c r="H521" s="55">
        <v>179</v>
      </c>
      <c r="I521" s="114"/>
      <c r="J521" s="55"/>
    </row>
    <row r="522" spans="1:10" ht="12.75" customHeight="1">
      <c r="A522" s="68" t="s">
        <v>857</v>
      </c>
      <c r="B522" s="68">
        <v>50110068</v>
      </c>
      <c r="C522" s="68"/>
      <c r="D522" s="68" t="s">
        <v>1064</v>
      </c>
      <c r="E522" s="68" t="s">
        <v>1065</v>
      </c>
      <c r="F522" s="80" t="s">
        <v>1066</v>
      </c>
      <c r="G522" s="106" t="s">
        <v>1006</v>
      </c>
      <c r="H522" s="56"/>
      <c r="I522" s="64"/>
      <c r="J522" s="56"/>
    </row>
    <row r="523" spans="1:10" ht="12.75" customHeight="1">
      <c r="A523" s="59" t="s">
        <v>857</v>
      </c>
      <c r="B523" s="59"/>
      <c r="C523" s="60">
        <v>241000304</v>
      </c>
      <c r="D523" s="59"/>
      <c r="E523" s="81" t="s">
        <v>858</v>
      </c>
      <c r="F523" s="64" t="s">
        <v>859</v>
      </c>
      <c r="G523" s="59" t="s">
        <v>809</v>
      </c>
      <c r="H523" s="56"/>
      <c r="I523" s="64"/>
      <c r="J523" s="143" t="s">
        <v>860</v>
      </c>
    </row>
    <row r="524" spans="1:10" ht="12.75" customHeight="1">
      <c r="A524" s="59" t="s">
        <v>965</v>
      </c>
      <c r="B524" s="59"/>
      <c r="C524" s="60">
        <v>241000365</v>
      </c>
      <c r="D524" s="59"/>
      <c r="E524" s="95" t="s">
        <v>966</v>
      </c>
      <c r="F524" s="64"/>
      <c r="G524" s="60"/>
      <c r="H524" s="56"/>
      <c r="I524" s="64"/>
      <c r="J524" s="146" t="s">
        <v>967</v>
      </c>
    </row>
    <row r="525" spans="1:10" ht="12.75" customHeight="1">
      <c r="A525" s="68" t="s">
        <v>680</v>
      </c>
      <c r="B525" s="68">
        <v>50991430</v>
      </c>
      <c r="C525" s="68"/>
      <c r="D525" s="68" t="s">
        <v>1280</v>
      </c>
      <c r="E525" s="68" t="s">
        <v>1280</v>
      </c>
      <c r="F525" s="80" t="s">
        <v>850</v>
      </c>
      <c r="G525" s="106" t="s">
        <v>1006</v>
      </c>
      <c r="H525" s="56"/>
      <c r="I525" s="64"/>
      <c r="J525" s="56"/>
    </row>
    <row r="526" spans="1:10" ht="12.75" customHeight="1">
      <c r="A526" s="59" t="s">
        <v>480</v>
      </c>
      <c r="B526" s="59"/>
      <c r="C526" s="60">
        <v>241000345</v>
      </c>
      <c r="D526" s="59"/>
      <c r="E526" s="59" t="s">
        <v>931</v>
      </c>
      <c r="F526" s="64"/>
      <c r="G526" s="60"/>
      <c r="H526" s="56"/>
      <c r="I526" s="64"/>
      <c r="J526" s="146"/>
    </row>
    <row r="527" spans="1:10" ht="12.75" customHeight="1">
      <c r="A527" s="59" t="s">
        <v>1327</v>
      </c>
      <c r="B527" s="60">
        <v>66600528</v>
      </c>
      <c r="C527" s="68"/>
      <c r="D527" s="68"/>
      <c r="E527" s="68" t="s">
        <v>1328</v>
      </c>
      <c r="F527" s="80" t="s">
        <v>1329</v>
      </c>
      <c r="G527" s="106" t="s">
        <v>1273</v>
      </c>
      <c r="H527" s="56"/>
      <c r="I527" s="64"/>
      <c r="J527" s="56"/>
    </row>
    <row r="528" spans="1:10" ht="12.75" customHeight="1">
      <c r="A528" s="59" t="s">
        <v>621</v>
      </c>
      <c r="B528" s="59"/>
      <c r="C528" s="60">
        <v>241000350</v>
      </c>
      <c r="D528" s="59"/>
      <c r="E528" s="59" t="s">
        <v>939</v>
      </c>
      <c r="F528" s="64" t="s">
        <v>940</v>
      </c>
      <c r="G528" s="60"/>
      <c r="H528" s="56"/>
      <c r="I528" s="64"/>
      <c r="J528" s="60" t="s">
        <v>941</v>
      </c>
    </row>
    <row r="529" spans="1:10" ht="12.75" customHeight="1">
      <c r="A529" s="59" t="s">
        <v>963</v>
      </c>
      <c r="B529" s="59"/>
      <c r="C529" s="60">
        <v>241000364</v>
      </c>
      <c r="D529" s="59"/>
      <c r="E529" s="59" t="s">
        <v>964</v>
      </c>
      <c r="F529" s="64"/>
      <c r="G529" s="60"/>
      <c r="H529" s="56"/>
      <c r="I529" s="64"/>
      <c r="J529" s="146"/>
    </row>
    <row r="530" spans="1:10" ht="12.75" customHeight="1">
      <c r="A530" s="59" t="s">
        <v>936</v>
      </c>
      <c r="B530" s="59"/>
      <c r="C530" s="60">
        <v>241000348</v>
      </c>
      <c r="D530" s="59"/>
      <c r="E530" s="59" t="s">
        <v>937</v>
      </c>
      <c r="F530" s="64"/>
      <c r="G530" s="60"/>
      <c r="H530" s="56"/>
      <c r="I530" s="64"/>
      <c r="J530" s="146"/>
    </row>
    <row r="531" spans="1:10" ht="12.75" customHeight="1">
      <c r="A531" s="68" t="s">
        <v>413</v>
      </c>
      <c r="B531" s="68">
        <v>49456028</v>
      </c>
      <c r="C531" s="68"/>
      <c r="D531" s="68" t="s">
        <v>1026</v>
      </c>
      <c r="E531" s="68" t="s">
        <v>1027</v>
      </c>
      <c r="F531" s="112" t="s">
        <v>808</v>
      </c>
      <c r="G531" s="113" t="s">
        <v>416</v>
      </c>
      <c r="H531" s="55">
        <v>128</v>
      </c>
      <c r="I531" s="114"/>
      <c r="J531" s="68"/>
    </row>
    <row r="532" spans="1:10" ht="12.75" customHeight="1">
      <c r="A532" s="68" t="s">
        <v>413</v>
      </c>
      <c r="B532" s="68">
        <v>49456007</v>
      </c>
      <c r="C532" s="68"/>
      <c r="D532" s="68" t="s">
        <v>1023</v>
      </c>
      <c r="E532" s="68" t="s">
        <v>1024</v>
      </c>
      <c r="F532" s="112" t="s">
        <v>1025</v>
      </c>
      <c r="G532" s="113" t="s">
        <v>416</v>
      </c>
      <c r="H532" s="55"/>
      <c r="I532" s="114"/>
      <c r="J532" s="68"/>
    </row>
    <row r="533" spans="1:10" ht="12.75" customHeight="1">
      <c r="A533" s="59" t="s">
        <v>680</v>
      </c>
      <c r="B533" s="59"/>
      <c r="C533" s="60">
        <v>241000189</v>
      </c>
      <c r="D533" s="59"/>
      <c r="E533" s="59" t="s">
        <v>681</v>
      </c>
      <c r="F533" s="64" t="s">
        <v>682</v>
      </c>
      <c r="G533" s="59" t="s">
        <v>683</v>
      </c>
      <c r="H533" s="56"/>
      <c r="I533" s="64"/>
      <c r="J533" s="56"/>
    </row>
    <row r="534" spans="1:10" ht="12.75" customHeight="1">
      <c r="A534" s="59" t="s">
        <v>680</v>
      </c>
      <c r="B534" s="59"/>
      <c r="C534" s="60">
        <v>241000192</v>
      </c>
      <c r="D534" s="59"/>
      <c r="E534" s="59" t="s">
        <v>688</v>
      </c>
      <c r="F534" s="64" t="s">
        <v>689</v>
      </c>
      <c r="G534" s="60" t="s">
        <v>683</v>
      </c>
      <c r="H534" s="56"/>
      <c r="I534" s="64"/>
      <c r="J534" s="56"/>
    </row>
    <row r="535" spans="1:10" ht="12.75" customHeight="1">
      <c r="A535" s="59" t="s">
        <v>889</v>
      </c>
      <c r="B535" s="59"/>
      <c r="C535" s="73">
        <v>241000319</v>
      </c>
      <c r="D535" s="72"/>
      <c r="E535" s="72" t="s">
        <v>890</v>
      </c>
      <c r="F535" s="74" t="s">
        <v>405</v>
      </c>
      <c r="G535" s="72" t="s">
        <v>809</v>
      </c>
      <c r="H535" s="76"/>
      <c r="I535" s="74"/>
      <c r="J535" s="151" t="s">
        <v>891</v>
      </c>
    </row>
    <row r="536" spans="1:10" ht="12.75" customHeight="1">
      <c r="A536" s="59" t="s">
        <v>796</v>
      </c>
      <c r="B536" s="59"/>
      <c r="C536" s="60">
        <v>241000309</v>
      </c>
      <c r="D536" s="59"/>
      <c r="E536" s="59" t="s">
        <v>866</v>
      </c>
      <c r="F536" s="64" t="s">
        <v>59</v>
      </c>
      <c r="G536" s="59" t="s">
        <v>799</v>
      </c>
      <c r="H536" s="56"/>
      <c r="I536" s="64"/>
      <c r="J536" s="59" t="s">
        <v>867</v>
      </c>
    </row>
    <row r="537" spans="1:10" ht="12.75" customHeight="1">
      <c r="A537" s="59" t="s">
        <v>500</v>
      </c>
      <c r="B537" s="60"/>
      <c r="C537" s="60">
        <v>241000099</v>
      </c>
      <c r="D537" s="59"/>
      <c r="E537" s="59" t="s">
        <v>554</v>
      </c>
      <c r="F537" s="64" t="s">
        <v>380</v>
      </c>
      <c r="G537" s="59" t="s">
        <v>416</v>
      </c>
      <c r="H537" s="56">
        <v>51</v>
      </c>
      <c r="I537" s="64"/>
      <c r="J537" s="56"/>
    </row>
    <row r="538" spans="1:10" ht="12.75" customHeight="1">
      <c r="A538" s="59" t="s">
        <v>500</v>
      </c>
      <c r="B538" s="60"/>
      <c r="C538" s="60">
        <v>241000055</v>
      </c>
      <c r="D538" s="59"/>
      <c r="E538" s="59" t="s">
        <v>501</v>
      </c>
      <c r="F538" s="64" t="s">
        <v>379</v>
      </c>
      <c r="G538" s="59" t="s">
        <v>416</v>
      </c>
      <c r="H538" s="56">
        <v>269</v>
      </c>
      <c r="I538" s="64"/>
      <c r="J538" s="56"/>
    </row>
    <row r="539" spans="1:10" ht="12.75" customHeight="1">
      <c r="A539" s="59" t="s">
        <v>500</v>
      </c>
      <c r="B539" s="60"/>
      <c r="C539" s="60">
        <v>241000056</v>
      </c>
      <c r="D539" s="59"/>
      <c r="E539" s="59" t="s">
        <v>502</v>
      </c>
      <c r="F539" s="64" t="s">
        <v>503</v>
      </c>
      <c r="G539" s="59" t="s">
        <v>416</v>
      </c>
      <c r="H539" s="56">
        <v>179</v>
      </c>
      <c r="I539" s="64"/>
      <c r="J539" s="56"/>
    </row>
    <row r="540" spans="1:10" ht="12.75" customHeight="1">
      <c r="A540" s="59" t="s">
        <v>500</v>
      </c>
      <c r="B540" s="60"/>
      <c r="C540" s="60">
        <v>241000057</v>
      </c>
      <c r="D540" s="59"/>
      <c r="E540" s="59" t="s">
        <v>504</v>
      </c>
      <c r="F540" s="64" t="s">
        <v>505</v>
      </c>
      <c r="G540" s="59" t="s">
        <v>416</v>
      </c>
      <c r="H540" s="56">
        <v>68</v>
      </c>
      <c r="I540" s="64"/>
      <c r="J540" s="56"/>
    </row>
    <row r="541" spans="1:10" ht="12.75" customHeight="1">
      <c r="A541" s="59" t="s">
        <v>399</v>
      </c>
      <c r="B541" s="59"/>
      <c r="C541" s="60">
        <v>241000248</v>
      </c>
      <c r="D541" s="59"/>
      <c r="E541" s="59" t="s">
        <v>781</v>
      </c>
      <c r="F541" s="64" t="s">
        <v>782</v>
      </c>
      <c r="G541" s="59" t="s">
        <v>473</v>
      </c>
      <c r="H541" s="56"/>
      <c r="I541" s="64"/>
      <c r="J541" s="143"/>
    </row>
    <row r="542" spans="1:10" ht="12.75" customHeight="1">
      <c r="A542" s="59" t="s">
        <v>442</v>
      </c>
      <c r="B542" s="59"/>
      <c r="C542" s="60">
        <v>241000205</v>
      </c>
      <c r="D542" s="59"/>
      <c r="E542" s="60" t="s">
        <v>715</v>
      </c>
      <c r="F542" s="64" t="s">
        <v>710</v>
      </c>
      <c r="G542" s="59" t="s">
        <v>711</v>
      </c>
      <c r="H542" s="56"/>
      <c r="I542" s="64"/>
      <c r="J542" s="60" t="s">
        <v>716</v>
      </c>
    </row>
    <row r="543" spans="1:10" ht="12.75" customHeight="1">
      <c r="A543" s="59" t="s">
        <v>442</v>
      </c>
      <c r="B543" s="59"/>
      <c r="C543" s="60">
        <v>241000206</v>
      </c>
      <c r="D543" s="59"/>
      <c r="E543" s="60" t="s">
        <v>717</v>
      </c>
      <c r="F543" s="64" t="s">
        <v>710</v>
      </c>
      <c r="G543" s="59" t="s">
        <v>711</v>
      </c>
      <c r="H543" s="56"/>
      <c r="I543" s="64"/>
      <c r="J543" s="60" t="s">
        <v>718</v>
      </c>
    </row>
    <row r="544" spans="1:10" ht="12.75" customHeight="1">
      <c r="A544" s="59" t="s">
        <v>442</v>
      </c>
      <c r="B544" s="59"/>
      <c r="C544" s="60">
        <v>241000204</v>
      </c>
      <c r="D544" s="59"/>
      <c r="E544" s="59" t="s">
        <v>713</v>
      </c>
      <c r="F544" s="64" t="s">
        <v>710</v>
      </c>
      <c r="G544" s="59" t="s">
        <v>711</v>
      </c>
      <c r="H544" s="56"/>
      <c r="I544" s="64"/>
      <c r="J544" s="60" t="s">
        <v>714</v>
      </c>
    </row>
    <row r="545" spans="1:10" ht="12.75" customHeight="1">
      <c r="A545" s="59" t="s">
        <v>442</v>
      </c>
      <c r="B545" s="59"/>
      <c r="C545" s="60">
        <v>241000203</v>
      </c>
      <c r="D545" s="59"/>
      <c r="E545" s="59" t="s">
        <v>709</v>
      </c>
      <c r="F545" s="64" t="s">
        <v>710</v>
      </c>
      <c r="G545" s="59" t="s">
        <v>711</v>
      </c>
      <c r="H545" s="56"/>
      <c r="I545" s="64"/>
      <c r="J545" s="60" t="s">
        <v>712</v>
      </c>
    </row>
    <row r="546" spans="1:10" ht="12.75" customHeight="1">
      <c r="A546" s="59" t="s">
        <v>442</v>
      </c>
      <c r="B546" s="59"/>
      <c r="C546" s="60">
        <v>241000301</v>
      </c>
      <c r="D546" s="59"/>
      <c r="E546" s="81" t="s">
        <v>853</v>
      </c>
      <c r="F546" s="64" t="s">
        <v>710</v>
      </c>
      <c r="G546" s="59" t="s">
        <v>711</v>
      </c>
      <c r="H546" s="56"/>
      <c r="I546" s="64"/>
      <c r="J546" s="143"/>
    </row>
    <row r="547" spans="1:10" ht="12.75" customHeight="1">
      <c r="A547" s="59" t="s">
        <v>442</v>
      </c>
      <c r="B547" s="59"/>
      <c r="C547" s="60">
        <v>241000167</v>
      </c>
      <c r="D547" s="59"/>
      <c r="E547" s="59" t="s">
        <v>643</v>
      </c>
      <c r="F547" s="64" t="s">
        <v>380</v>
      </c>
      <c r="G547" s="59" t="s">
        <v>644</v>
      </c>
      <c r="H547" s="56">
        <v>14</v>
      </c>
      <c r="I547" s="64"/>
      <c r="J547" s="56" t="s">
        <v>645</v>
      </c>
    </row>
    <row r="548" spans="1:10" ht="12.75" customHeight="1">
      <c r="A548" s="59" t="s">
        <v>442</v>
      </c>
      <c r="B548" s="59"/>
      <c r="C548" s="60">
        <v>241000168</v>
      </c>
      <c r="D548" s="59"/>
      <c r="E548" s="59" t="s">
        <v>646</v>
      </c>
      <c r="F548" s="64" t="s">
        <v>647</v>
      </c>
      <c r="G548" s="59" t="s">
        <v>644</v>
      </c>
      <c r="H548" s="56">
        <v>6</v>
      </c>
      <c r="I548" s="64"/>
      <c r="J548" s="56" t="s">
        <v>648</v>
      </c>
    </row>
    <row r="549" spans="1:10" ht="12.75" customHeight="1">
      <c r="A549" s="59" t="s">
        <v>418</v>
      </c>
      <c r="B549" s="59"/>
      <c r="C549" s="60">
        <v>241000317</v>
      </c>
      <c r="D549" s="59" t="s">
        <v>883</v>
      </c>
      <c r="E549" s="59" t="s">
        <v>883</v>
      </c>
      <c r="F549" s="64" t="s">
        <v>884</v>
      </c>
      <c r="G549" s="59"/>
      <c r="H549" s="56"/>
      <c r="I549" s="64"/>
      <c r="J549" s="146" t="s">
        <v>885</v>
      </c>
    </row>
    <row r="550" spans="1:10" ht="12.75" customHeight="1">
      <c r="A550" s="59" t="s">
        <v>418</v>
      </c>
      <c r="B550" s="59"/>
      <c r="C550" s="60">
        <v>241000346</v>
      </c>
      <c r="D550" s="59"/>
      <c r="E550" s="59" t="s">
        <v>932</v>
      </c>
      <c r="F550" s="64" t="s">
        <v>933</v>
      </c>
      <c r="G550" s="60" t="s">
        <v>929</v>
      </c>
      <c r="H550" s="56"/>
      <c r="I550" s="64"/>
      <c r="J550" s="146" t="s">
        <v>934</v>
      </c>
    </row>
    <row r="551" spans="1:10" ht="12.75" customHeight="1">
      <c r="A551" s="59" t="s">
        <v>403</v>
      </c>
      <c r="B551" s="60"/>
      <c r="C551" s="60">
        <v>241000003</v>
      </c>
      <c r="D551" s="59" t="s">
        <v>407</v>
      </c>
      <c r="E551" s="59" t="s">
        <v>407</v>
      </c>
      <c r="F551" s="64" t="s">
        <v>405</v>
      </c>
      <c r="G551" s="60">
        <v>455</v>
      </c>
      <c r="H551" s="56"/>
      <c r="I551" s="64"/>
      <c r="J551" s="56"/>
    </row>
    <row r="552" spans="1:10" ht="12.75" customHeight="1">
      <c r="A552" s="59" t="s">
        <v>403</v>
      </c>
      <c r="B552" s="60"/>
      <c r="C552" s="60">
        <v>241000005</v>
      </c>
      <c r="D552" s="59" t="s">
        <v>409</v>
      </c>
      <c r="E552" s="59" t="s">
        <v>409</v>
      </c>
      <c r="F552" s="64" t="s">
        <v>405</v>
      </c>
      <c r="G552" s="60">
        <v>455</v>
      </c>
      <c r="H552" s="56"/>
      <c r="I552" s="64"/>
      <c r="J552" s="56"/>
    </row>
    <row r="553" spans="1:10" ht="12.75" customHeight="1">
      <c r="A553" s="59" t="s">
        <v>403</v>
      </c>
      <c r="B553" s="60"/>
      <c r="C553" s="60">
        <v>241000006</v>
      </c>
      <c r="D553" s="59" t="s">
        <v>410</v>
      </c>
      <c r="E553" s="59" t="s">
        <v>411</v>
      </c>
      <c r="F553" s="64" t="s">
        <v>405</v>
      </c>
      <c r="G553" s="60">
        <v>455</v>
      </c>
      <c r="H553" s="56"/>
      <c r="I553" s="64"/>
      <c r="J553" s="56"/>
    </row>
    <row r="554" spans="1:10" ht="12.75" customHeight="1">
      <c r="A554" s="59" t="s">
        <v>403</v>
      </c>
      <c r="B554" s="60"/>
      <c r="C554" s="60">
        <v>241000007</v>
      </c>
      <c r="D554" s="59" t="s">
        <v>412</v>
      </c>
      <c r="E554" s="59" t="s">
        <v>412</v>
      </c>
      <c r="F554" s="64" t="s">
        <v>405</v>
      </c>
      <c r="G554" s="60">
        <v>455</v>
      </c>
      <c r="H554" s="56"/>
      <c r="I554" s="64"/>
      <c r="J554" s="66"/>
    </row>
    <row r="555" spans="1:10" ht="12.75" customHeight="1">
      <c r="A555" s="59" t="s">
        <v>403</v>
      </c>
      <c r="B555" s="60"/>
      <c r="C555" s="60">
        <v>241000002</v>
      </c>
      <c r="D555" s="59" t="s">
        <v>406</v>
      </c>
      <c r="E555" s="59" t="s">
        <v>406</v>
      </c>
      <c r="F555" s="64" t="s">
        <v>405</v>
      </c>
      <c r="G555" s="60">
        <v>455</v>
      </c>
      <c r="H555" s="56"/>
      <c r="I555" s="64"/>
      <c r="J555" s="56"/>
    </row>
    <row r="556" spans="1:10" ht="12.75" customHeight="1">
      <c r="A556" s="59" t="s">
        <v>403</v>
      </c>
      <c r="B556" s="60"/>
      <c r="C556" s="60">
        <v>241000001</v>
      </c>
      <c r="D556" s="59" t="s">
        <v>404</v>
      </c>
      <c r="E556" s="59" t="s">
        <v>404</v>
      </c>
      <c r="F556" s="64" t="s">
        <v>405</v>
      </c>
      <c r="G556" s="60">
        <v>455</v>
      </c>
      <c r="H556" s="56"/>
      <c r="I556" s="64"/>
      <c r="J556" s="56"/>
    </row>
    <row r="557" spans="1:10" ht="12.75" customHeight="1">
      <c r="A557" s="100"/>
      <c r="B557" s="100"/>
      <c r="C557" s="101"/>
      <c r="D557" s="100"/>
      <c r="E557" s="100" t="s">
        <v>965</v>
      </c>
      <c r="F557" s="102"/>
      <c r="G557" s="101"/>
      <c r="H557" s="103"/>
      <c r="I557" s="102"/>
      <c r="J557" s="148"/>
    </row>
    <row r="558" spans="1:10" ht="12.75" customHeight="1">
      <c r="A558" s="100"/>
      <c r="B558" s="100"/>
      <c r="C558" s="101"/>
      <c r="D558" s="100"/>
      <c r="E558" s="100" t="s">
        <v>965</v>
      </c>
      <c r="F558" s="102"/>
      <c r="G558" s="101"/>
      <c r="H558" s="103"/>
      <c r="I558" s="102"/>
      <c r="J558" s="148"/>
    </row>
    <row r="559" spans="1:10" ht="12.75" customHeight="1">
      <c r="A559" s="100"/>
      <c r="B559" s="100"/>
      <c r="C559" s="101"/>
      <c r="D559" s="100"/>
      <c r="E559" s="100" t="s">
        <v>965</v>
      </c>
      <c r="F559" s="102"/>
      <c r="G559" s="101"/>
      <c r="H559" s="103"/>
      <c r="I559" s="102"/>
      <c r="J559" s="148"/>
    </row>
    <row r="560" spans="1:10" ht="12.75" customHeight="1">
      <c r="A560" s="100"/>
      <c r="B560" s="100"/>
      <c r="C560" s="101"/>
      <c r="D560" s="100"/>
      <c r="E560" s="100" t="s">
        <v>965</v>
      </c>
      <c r="F560" s="102"/>
      <c r="G560" s="101"/>
      <c r="H560" s="103"/>
      <c r="I560" s="102"/>
      <c r="J560" s="148"/>
    </row>
    <row r="561" spans="1:10" ht="12.75" customHeight="1">
      <c r="A561" s="100"/>
      <c r="B561" s="100"/>
      <c r="C561" s="101"/>
      <c r="D561" s="100"/>
      <c r="E561" s="100" t="s">
        <v>965</v>
      </c>
      <c r="F561" s="102"/>
      <c r="G561" s="101"/>
      <c r="H561" s="103"/>
      <c r="I561" s="102"/>
      <c r="J561" s="148"/>
    </row>
    <row r="562" spans="1:10" ht="12.75" customHeight="1">
      <c r="A562" s="100"/>
      <c r="B562" s="100"/>
      <c r="C562" s="101"/>
      <c r="D562" s="100"/>
      <c r="E562" s="100" t="s">
        <v>965</v>
      </c>
      <c r="F562" s="102"/>
      <c r="G562" s="101"/>
      <c r="H562" s="103"/>
      <c r="I562" s="102"/>
      <c r="J562" s="148"/>
    </row>
    <row r="563" spans="1:10" ht="12.75" customHeight="1">
      <c r="A563" s="100"/>
      <c r="B563" s="100"/>
      <c r="C563" s="101"/>
      <c r="D563" s="100"/>
      <c r="E563" s="100" t="s">
        <v>965</v>
      </c>
      <c r="F563" s="102"/>
      <c r="G563" s="101"/>
      <c r="H563" s="103"/>
      <c r="I563" s="102"/>
      <c r="J563" s="148"/>
    </row>
    <row r="564" spans="1:10" ht="12.75" customHeight="1">
      <c r="A564" s="100"/>
      <c r="B564" s="100"/>
      <c r="C564" s="101"/>
      <c r="D564" s="100"/>
      <c r="E564" s="100" t="s">
        <v>965</v>
      </c>
      <c r="F564" s="102"/>
      <c r="G564" s="101"/>
      <c r="H564" s="103"/>
      <c r="I564" s="102"/>
      <c r="J564" s="148"/>
    </row>
    <row r="565" spans="1:10" ht="12.75" customHeight="1">
      <c r="A565" s="100"/>
      <c r="B565" s="100"/>
      <c r="C565" s="101"/>
      <c r="D565" s="100"/>
      <c r="E565" s="100" t="s">
        <v>965</v>
      </c>
      <c r="F565" s="102"/>
      <c r="G565" s="101"/>
      <c r="H565" s="103"/>
      <c r="I565" s="102"/>
      <c r="J565" s="148"/>
    </row>
    <row r="566" spans="1:10" ht="12.75" customHeight="1">
      <c r="A566" s="100"/>
      <c r="B566" s="100"/>
      <c r="C566" s="101"/>
      <c r="D566" s="100"/>
      <c r="E566" s="100" t="s">
        <v>965</v>
      </c>
      <c r="F566" s="102"/>
      <c r="G566" s="101"/>
      <c r="H566" s="103"/>
      <c r="I566" s="102"/>
      <c r="J566" s="148"/>
    </row>
    <row r="567" spans="1:10" ht="12.75" customHeight="1">
      <c r="A567" s="100"/>
      <c r="B567" s="100"/>
      <c r="C567" s="101"/>
      <c r="D567" s="100"/>
      <c r="E567" s="100" t="s">
        <v>965</v>
      </c>
      <c r="F567" s="102"/>
      <c r="G567" s="101"/>
      <c r="H567" s="103"/>
      <c r="I567" s="102"/>
      <c r="J567" s="148"/>
    </row>
    <row r="568" spans="1:10" ht="12.75" customHeight="1">
      <c r="A568" s="59" t="s">
        <v>796</v>
      </c>
      <c r="B568" s="59"/>
      <c r="C568" s="60">
        <v>241000362</v>
      </c>
      <c r="D568" s="59"/>
      <c r="E568" s="59" t="s">
        <v>959</v>
      </c>
      <c r="F568" s="64"/>
      <c r="G568" s="60"/>
      <c r="H568" s="56"/>
      <c r="I568" s="64"/>
      <c r="J568" s="146" t="s">
        <v>960</v>
      </c>
    </row>
    <row r="569" spans="1:10" ht="12.75" customHeight="1">
      <c r="A569" s="59" t="s">
        <v>796</v>
      </c>
      <c r="B569" s="59"/>
      <c r="C569" s="60">
        <v>241000363</v>
      </c>
      <c r="D569" s="59"/>
      <c r="E569" s="59" t="s">
        <v>961</v>
      </c>
      <c r="F569" s="64"/>
      <c r="G569" s="60"/>
      <c r="H569" s="56"/>
      <c r="I569" s="64"/>
      <c r="J569" s="146" t="s">
        <v>962</v>
      </c>
    </row>
    <row r="570" spans="1:10" ht="12.75" customHeight="1">
      <c r="A570" s="59" t="s">
        <v>965</v>
      </c>
      <c r="B570" s="59"/>
      <c r="C570" s="60">
        <v>241000368</v>
      </c>
      <c r="D570" s="59"/>
      <c r="E570" s="95" t="s">
        <v>971</v>
      </c>
      <c r="F570" s="64"/>
      <c r="G570" s="60"/>
      <c r="H570" s="56"/>
      <c r="I570" s="64"/>
      <c r="J570" s="146" t="s">
        <v>972</v>
      </c>
    </row>
    <row r="571" spans="1:10" ht="12.75" customHeight="1">
      <c r="A571" s="59" t="s">
        <v>965</v>
      </c>
      <c r="B571" s="59"/>
      <c r="C571" s="60">
        <v>241000369</v>
      </c>
      <c r="D571" s="59"/>
      <c r="E571" s="95" t="s">
        <v>973</v>
      </c>
      <c r="F571" s="64"/>
      <c r="G571" s="60"/>
      <c r="H571" s="56"/>
      <c r="I571" s="64"/>
      <c r="J571" s="146" t="s">
        <v>974</v>
      </c>
    </row>
    <row r="572" spans="1:10" ht="12.75" customHeight="1">
      <c r="A572" s="59" t="s">
        <v>413</v>
      </c>
      <c r="B572" s="60">
        <v>50110048</v>
      </c>
      <c r="C572" s="68"/>
      <c r="D572" s="68"/>
      <c r="E572" s="68" t="s">
        <v>1047</v>
      </c>
      <c r="F572" s="80" t="s">
        <v>405</v>
      </c>
      <c r="G572" s="106" t="s">
        <v>969</v>
      </c>
      <c r="H572" s="56"/>
      <c r="I572" s="64"/>
      <c r="J572" s="56"/>
    </row>
    <row r="573" spans="1:10" ht="12.75" customHeight="1">
      <c r="A573" s="59" t="s">
        <v>442</v>
      </c>
      <c r="B573" s="59"/>
      <c r="C573" s="60">
        <v>241000231</v>
      </c>
      <c r="D573" s="59"/>
      <c r="E573" s="59" t="s">
        <v>754</v>
      </c>
      <c r="F573" s="64"/>
      <c r="G573" s="59"/>
      <c r="H573" s="56"/>
      <c r="I573" s="64"/>
      <c r="J573" s="143" t="s">
        <v>755</v>
      </c>
    </row>
    <row r="574" spans="1:10" ht="12.75" customHeight="1">
      <c r="A574" s="59" t="s">
        <v>442</v>
      </c>
      <c r="B574" s="59"/>
      <c r="C574" s="60">
        <v>241000230</v>
      </c>
      <c r="D574" s="59"/>
      <c r="E574" s="59" t="s">
        <v>752</v>
      </c>
      <c r="F574" s="64"/>
      <c r="G574" s="59"/>
      <c r="H574" s="56"/>
      <c r="I574" s="64"/>
      <c r="J574" s="143" t="s">
        <v>753</v>
      </c>
    </row>
    <row r="575" spans="1:10" ht="12.75" customHeight="1">
      <c r="A575" s="59" t="s">
        <v>442</v>
      </c>
      <c r="B575" s="59"/>
      <c r="C575" s="60">
        <v>241000229</v>
      </c>
      <c r="D575" s="59"/>
      <c r="E575" s="59" t="s">
        <v>750</v>
      </c>
      <c r="F575" s="64"/>
      <c r="G575" s="59"/>
      <c r="H575" s="56"/>
      <c r="I575" s="64"/>
      <c r="J575" s="143" t="s">
        <v>751</v>
      </c>
    </row>
    <row r="576" spans="1:10" ht="12.75" customHeight="1">
      <c r="A576" s="59" t="s">
        <v>413</v>
      </c>
      <c r="B576" s="59"/>
      <c r="C576" s="60">
        <v>241000267</v>
      </c>
      <c r="D576" s="59"/>
      <c r="E576" s="59" t="s">
        <v>807</v>
      </c>
      <c r="F576" s="64" t="s">
        <v>808</v>
      </c>
      <c r="G576" s="59" t="s">
        <v>809</v>
      </c>
      <c r="H576" s="56"/>
      <c r="I576" s="64"/>
      <c r="J576" s="143"/>
    </row>
    <row r="577" spans="1:10" ht="12.75" customHeight="1">
      <c r="A577" s="59" t="s">
        <v>403</v>
      </c>
      <c r="B577" s="60"/>
      <c r="C577" s="60">
        <v>241000004</v>
      </c>
      <c r="D577" s="59" t="s">
        <v>408</v>
      </c>
      <c r="E577" s="59" t="s">
        <v>408</v>
      </c>
      <c r="F577" s="64" t="s">
        <v>405</v>
      </c>
      <c r="G577" s="60">
        <v>455</v>
      </c>
      <c r="H577" s="56"/>
      <c r="I577" s="64"/>
      <c r="J577" s="56"/>
    </row>
    <row r="578" spans="1:10" ht="12.75" customHeight="1">
      <c r="A578" s="59" t="s">
        <v>418</v>
      </c>
      <c r="B578" s="59"/>
      <c r="C578" s="60">
        <v>241000322</v>
      </c>
      <c r="D578" s="59"/>
      <c r="E578" s="59" t="s">
        <v>894</v>
      </c>
      <c r="F578" s="64" t="s">
        <v>895</v>
      </c>
      <c r="G578" s="60"/>
      <c r="H578" s="56"/>
      <c r="I578" s="64"/>
      <c r="J578" s="146"/>
    </row>
    <row r="579" spans="1:10" ht="12.75" customHeight="1">
      <c r="A579" s="59" t="s">
        <v>903</v>
      </c>
      <c r="B579" s="60">
        <v>53460142</v>
      </c>
      <c r="C579" s="68"/>
      <c r="D579" s="68"/>
      <c r="E579" s="68" t="s">
        <v>1298</v>
      </c>
      <c r="F579" s="115" t="s">
        <v>1299</v>
      </c>
      <c r="G579" s="106" t="s">
        <v>969</v>
      </c>
      <c r="H579" s="56"/>
      <c r="I579" s="64"/>
      <c r="J579" s="56"/>
    </row>
    <row r="580" spans="1:10" ht="12.75" customHeight="1">
      <c r="A580" s="59" t="s">
        <v>413</v>
      </c>
      <c r="B580" s="60">
        <v>50110088</v>
      </c>
      <c r="C580" s="68"/>
      <c r="D580" s="68"/>
      <c r="E580" s="68" t="s">
        <v>1081</v>
      </c>
      <c r="F580" s="80" t="s">
        <v>405</v>
      </c>
      <c r="G580" s="106" t="s">
        <v>969</v>
      </c>
      <c r="H580" s="56"/>
      <c r="I580" s="64"/>
      <c r="J580" s="56"/>
    </row>
    <row r="581" spans="1:10" ht="12.75" customHeight="1">
      <c r="A581" s="68" t="s">
        <v>413</v>
      </c>
      <c r="B581" s="68">
        <v>50110088</v>
      </c>
      <c r="C581" s="68"/>
      <c r="D581" s="68" t="s">
        <v>1078</v>
      </c>
      <c r="E581" s="68" t="s">
        <v>1079</v>
      </c>
      <c r="F581" s="80" t="s">
        <v>1080</v>
      </c>
      <c r="G581" s="106" t="s">
        <v>416</v>
      </c>
      <c r="H581" s="56"/>
      <c r="I581" s="64"/>
      <c r="J581" s="56"/>
    </row>
    <row r="582" spans="1:10" ht="12.75" customHeight="1">
      <c r="A582" s="59" t="s">
        <v>418</v>
      </c>
      <c r="B582" s="59"/>
      <c r="C582" s="60">
        <v>241000246</v>
      </c>
      <c r="D582" s="59"/>
      <c r="E582" s="59" t="s">
        <v>776</v>
      </c>
      <c r="F582" s="64" t="s">
        <v>777</v>
      </c>
      <c r="G582" s="59" t="s">
        <v>775</v>
      </c>
      <c r="H582" s="56"/>
      <c r="I582" s="64"/>
      <c r="J582" s="143"/>
    </row>
    <row r="583" spans="1:10" ht="12.75" customHeight="1">
      <c r="A583" s="59" t="s">
        <v>873</v>
      </c>
      <c r="B583" s="59"/>
      <c r="C583" s="60">
        <v>241000344</v>
      </c>
      <c r="D583" s="59"/>
      <c r="E583" s="59" t="s">
        <v>928</v>
      </c>
      <c r="F583" s="64"/>
      <c r="G583" s="60" t="s">
        <v>929</v>
      </c>
      <c r="H583" s="56"/>
      <c r="I583" s="64"/>
      <c r="J583" s="146" t="s">
        <v>930</v>
      </c>
    </row>
    <row r="584" spans="1:10" ht="12.75" customHeight="1">
      <c r="A584" s="59" t="s">
        <v>439</v>
      </c>
      <c r="B584" s="59"/>
      <c r="C584" s="60">
        <v>241000227</v>
      </c>
      <c r="D584" s="59"/>
      <c r="E584" s="59" t="s">
        <v>748</v>
      </c>
      <c r="F584" s="64" t="s">
        <v>405</v>
      </c>
      <c r="G584" s="59" t="s">
        <v>441</v>
      </c>
      <c r="H584" s="56">
        <v>4</v>
      </c>
      <c r="I584" s="64"/>
      <c r="J584" s="66" t="s">
        <v>671</v>
      </c>
    </row>
    <row r="585" spans="1:10" ht="12.75" customHeight="1">
      <c r="A585" s="59" t="s">
        <v>442</v>
      </c>
      <c r="B585" s="59"/>
      <c r="C585" s="60">
        <v>241000225</v>
      </c>
      <c r="D585" s="59"/>
      <c r="E585" s="59" t="s">
        <v>744</v>
      </c>
      <c r="F585" s="64" t="s">
        <v>745</v>
      </c>
      <c r="G585" s="59" t="s">
        <v>445</v>
      </c>
      <c r="H585" s="56">
        <v>222</v>
      </c>
      <c r="I585" s="64"/>
      <c r="J585" s="66" t="s">
        <v>671</v>
      </c>
    </row>
    <row r="586" spans="1:10" ht="12.75" customHeight="1">
      <c r="A586" s="59" t="s">
        <v>439</v>
      </c>
      <c r="B586" s="59"/>
      <c r="C586" s="60">
        <v>241000228</v>
      </c>
      <c r="D586" s="59"/>
      <c r="E586" s="59" t="s">
        <v>749</v>
      </c>
      <c r="F586" s="64" t="s">
        <v>368</v>
      </c>
      <c r="G586" s="59" t="s">
        <v>441</v>
      </c>
      <c r="H586" s="56">
        <v>17</v>
      </c>
      <c r="I586" s="64"/>
      <c r="J586" s="66" t="s">
        <v>671</v>
      </c>
    </row>
    <row r="587" spans="1:10" ht="12.75" customHeight="1">
      <c r="A587" s="59" t="s">
        <v>603</v>
      </c>
      <c r="B587" s="59"/>
      <c r="C587" s="60">
        <v>241000142</v>
      </c>
      <c r="D587" s="59"/>
      <c r="E587" s="59" t="s">
        <v>607</v>
      </c>
      <c r="F587" s="64" t="s">
        <v>605</v>
      </c>
      <c r="G587" s="59" t="s">
        <v>606</v>
      </c>
      <c r="H587" s="56">
        <v>188</v>
      </c>
      <c r="I587" s="64"/>
      <c r="J587" s="56"/>
    </row>
    <row r="588" spans="1:10" ht="12.75" customHeight="1">
      <c r="A588" s="59" t="s">
        <v>603</v>
      </c>
      <c r="B588" s="59"/>
      <c r="C588" s="60">
        <v>241000141</v>
      </c>
      <c r="D588" s="59"/>
      <c r="E588" s="59" t="s">
        <v>604</v>
      </c>
      <c r="F588" s="64" t="s">
        <v>605</v>
      </c>
      <c r="G588" s="59" t="s">
        <v>606</v>
      </c>
      <c r="H588" s="56">
        <v>193</v>
      </c>
      <c r="I588" s="64"/>
      <c r="J588" s="56"/>
    </row>
    <row r="589" spans="1:10" ht="12.75" customHeight="1">
      <c r="A589" s="59" t="s">
        <v>603</v>
      </c>
      <c r="B589" s="59"/>
      <c r="C589" s="60">
        <v>241000143</v>
      </c>
      <c r="D589" s="59"/>
      <c r="E589" s="59" t="s">
        <v>608</v>
      </c>
      <c r="F589" s="64" t="s">
        <v>605</v>
      </c>
      <c r="G589" s="59" t="s">
        <v>606</v>
      </c>
      <c r="H589" s="56">
        <v>224</v>
      </c>
      <c r="I589" s="64"/>
      <c r="J589" s="56"/>
    </row>
    <row r="590" spans="1:10" ht="12.75" customHeight="1">
      <c r="A590" s="59" t="s">
        <v>603</v>
      </c>
      <c r="B590" s="59"/>
      <c r="C590" s="60">
        <v>241000145</v>
      </c>
      <c r="D590" s="59"/>
      <c r="E590" s="59" t="s">
        <v>611</v>
      </c>
      <c r="F590" s="64" t="s">
        <v>380</v>
      </c>
      <c r="G590" s="59" t="s">
        <v>606</v>
      </c>
      <c r="H590" s="56">
        <v>327</v>
      </c>
      <c r="I590" s="64"/>
      <c r="J590" s="56"/>
    </row>
    <row r="591" spans="1:10" ht="12.75" customHeight="1">
      <c r="A591" s="59" t="s">
        <v>603</v>
      </c>
      <c r="B591" s="59"/>
      <c r="C591" s="60">
        <v>241000144</v>
      </c>
      <c r="D591" s="59"/>
      <c r="E591" s="59" t="s">
        <v>609</v>
      </c>
      <c r="F591" s="64" t="s">
        <v>380</v>
      </c>
      <c r="G591" s="59" t="s">
        <v>606</v>
      </c>
      <c r="H591" s="56">
        <v>327</v>
      </c>
      <c r="I591" s="64"/>
      <c r="J591" s="56" t="s">
        <v>610</v>
      </c>
    </row>
    <row r="592" spans="1:10" ht="12.75" customHeight="1">
      <c r="A592" s="59" t="s">
        <v>603</v>
      </c>
      <c r="B592" s="59"/>
      <c r="C592" s="60">
        <v>241000146</v>
      </c>
      <c r="D592" s="59"/>
      <c r="E592" s="59" t="s">
        <v>612</v>
      </c>
      <c r="F592" s="64" t="s">
        <v>380</v>
      </c>
      <c r="G592" s="59" t="s">
        <v>606</v>
      </c>
      <c r="H592" s="56">
        <v>367</v>
      </c>
      <c r="I592" s="64"/>
      <c r="J592" s="56"/>
    </row>
    <row r="593" spans="1:10" ht="12.75" customHeight="1">
      <c r="A593" s="68" t="s">
        <v>1274</v>
      </c>
      <c r="B593" s="68">
        <v>50160105</v>
      </c>
      <c r="C593" s="68"/>
      <c r="D593" s="56"/>
      <c r="E593" s="66" t="s">
        <v>1275</v>
      </c>
      <c r="F593" s="55" t="s">
        <v>379</v>
      </c>
      <c r="G593" s="68" t="s">
        <v>437</v>
      </c>
      <c r="H593" s="55">
        <v>42</v>
      </c>
      <c r="I593" s="55"/>
      <c r="J593" s="56"/>
    </row>
    <row r="594" spans="1:10" ht="12.75" customHeight="1">
      <c r="A594" s="96"/>
      <c r="B594" s="96"/>
      <c r="C594" s="97">
        <v>30002</v>
      </c>
      <c r="D594" s="96"/>
      <c r="E594" s="96" t="s">
        <v>975</v>
      </c>
      <c r="F594" s="98"/>
      <c r="G594" s="97"/>
      <c r="H594" s="99"/>
      <c r="I594" s="98"/>
      <c r="J594" s="153" t="s">
        <v>976</v>
      </c>
    </row>
    <row r="595" spans="1:10" ht="12.75" customHeight="1">
      <c r="A595" s="59" t="s">
        <v>621</v>
      </c>
      <c r="B595" s="59"/>
      <c r="C595" s="60">
        <v>241000245</v>
      </c>
      <c r="D595" s="59"/>
      <c r="E595" s="59" t="s">
        <v>773</v>
      </c>
      <c r="F595" s="64" t="s">
        <v>774</v>
      </c>
      <c r="G595" s="59" t="s">
        <v>775</v>
      </c>
      <c r="H595" s="56"/>
      <c r="I595" s="64"/>
      <c r="J595" s="143"/>
    </row>
    <row r="596" spans="1:10" ht="12.75" customHeight="1">
      <c r="A596" s="68" t="s">
        <v>663</v>
      </c>
      <c r="B596" s="68">
        <v>50110797</v>
      </c>
      <c r="C596" s="68" t="s">
        <v>1170</v>
      </c>
      <c r="D596" s="68" t="s">
        <v>1171</v>
      </c>
      <c r="E596" s="68" t="s">
        <v>1172</v>
      </c>
      <c r="F596" s="64" t="s">
        <v>1111</v>
      </c>
      <c r="G596" s="106" t="s">
        <v>1000</v>
      </c>
      <c r="H596" s="56"/>
      <c r="I596" s="64"/>
      <c r="J596" s="56"/>
    </row>
    <row r="597" spans="1:10" ht="12.75" customHeight="1">
      <c r="A597" s="59" t="s">
        <v>621</v>
      </c>
      <c r="B597" s="59"/>
      <c r="C597" s="60">
        <v>241000336</v>
      </c>
      <c r="D597" s="59"/>
      <c r="E597" s="84" t="s">
        <v>915</v>
      </c>
      <c r="F597" s="94" t="s">
        <v>70</v>
      </c>
      <c r="G597" s="60"/>
      <c r="H597" s="56"/>
      <c r="I597" s="64"/>
      <c r="J597" s="146"/>
    </row>
    <row r="598" spans="1:10" ht="12.75" customHeight="1">
      <c r="A598" s="59" t="s">
        <v>796</v>
      </c>
      <c r="B598" s="59"/>
      <c r="C598" s="60">
        <v>241000260</v>
      </c>
      <c r="D598" s="59"/>
      <c r="E598" s="59" t="s">
        <v>800</v>
      </c>
      <c r="F598" s="64" t="s">
        <v>59</v>
      </c>
      <c r="G598" s="59" t="s">
        <v>799</v>
      </c>
      <c r="H598" s="56"/>
      <c r="I598" s="64"/>
      <c r="J598" s="143"/>
    </row>
    <row r="599" spans="1:10" ht="12.75" customHeight="1">
      <c r="A599" s="59" t="s">
        <v>413</v>
      </c>
      <c r="B599" s="60">
        <v>50110089</v>
      </c>
      <c r="C599" s="68"/>
      <c r="D599" s="68"/>
      <c r="E599" s="68" t="s">
        <v>1082</v>
      </c>
      <c r="F599" s="80" t="s">
        <v>405</v>
      </c>
      <c r="G599" s="106" t="s">
        <v>969</v>
      </c>
      <c r="H599" s="56"/>
      <c r="I599" s="64"/>
      <c r="J599" s="56"/>
    </row>
    <row r="600" spans="1:10" ht="12.75" customHeight="1">
      <c r="A600" s="59"/>
      <c r="B600" s="59"/>
      <c r="C600" s="59"/>
      <c r="D600" s="59"/>
      <c r="E600" s="59"/>
      <c r="F600" s="64"/>
      <c r="G600" s="59"/>
      <c r="H600" s="56"/>
      <c r="I600" s="64"/>
      <c r="J600" s="66"/>
    </row>
    <row r="601" spans="1:10" ht="12.75" customHeight="1">
      <c r="A601" s="59"/>
      <c r="B601" s="59"/>
      <c r="C601" s="59"/>
      <c r="D601" s="59"/>
      <c r="F601" s="64"/>
      <c r="G601" s="59"/>
      <c r="H601" s="56"/>
      <c r="I601" s="64"/>
      <c r="J601" s="66"/>
    </row>
    <row r="602" spans="1:10" ht="12.75" customHeight="1">
      <c r="A602" s="59"/>
      <c r="B602" s="59"/>
      <c r="C602" s="59"/>
      <c r="D602" s="59"/>
      <c r="E602" s="59"/>
      <c r="F602" s="64"/>
      <c r="G602" s="59"/>
      <c r="H602" s="56"/>
      <c r="I602" s="64"/>
      <c r="J602" s="66"/>
    </row>
    <row r="603" spans="1:10">
      <c r="A603" s="59"/>
      <c r="B603" s="59"/>
      <c r="C603" s="59"/>
      <c r="D603" s="59"/>
      <c r="E603" s="59"/>
      <c r="F603" s="64"/>
      <c r="G603" s="59"/>
      <c r="H603" s="56"/>
      <c r="I603" s="64"/>
      <c r="J603" s="66"/>
    </row>
    <row r="604" spans="1:10">
      <c r="A604" s="59"/>
      <c r="B604" s="59"/>
      <c r="C604" s="59"/>
      <c r="D604" s="59"/>
      <c r="E604" s="59"/>
      <c r="F604" s="64" t="s">
        <v>1341</v>
      </c>
      <c r="G604" s="59"/>
      <c r="H604" s="56"/>
      <c r="I604" s="64"/>
      <c r="J604" s="66"/>
    </row>
    <row r="605" spans="1:10">
      <c r="A605" s="59"/>
      <c r="B605" s="59"/>
      <c r="C605" s="59"/>
      <c r="D605" s="59"/>
      <c r="E605" s="59"/>
      <c r="F605" s="64"/>
      <c r="G605" s="59"/>
      <c r="H605" s="56"/>
      <c r="I605" s="64"/>
      <c r="J605" s="66"/>
    </row>
    <row r="606" spans="1:10">
      <c r="A606" s="59"/>
      <c r="B606" s="59"/>
      <c r="C606" s="59"/>
      <c r="D606" s="59"/>
      <c r="E606" s="59"/>
      <c r="F606" s="64"/>
      <c r="G606" s="59"/>
      <c r="H606" s="56"/>
      <c r="I606" s="64"/>
      <c r="J606" s="66"/>
    </row>
    <row r="607" spans="1:10">
      <c r="A607" s="59"/>
      <c r="B607" s="59"/>
      <c r="C607" s="59"/>
      <c r="D607" s="59"/>
      <c r="E607" s="59"/>
      <c r="F607" s="64"/>
      <c r="G607" s="59"/>
      <c r="H607" s="56"/>
      <c r="I607" s="64"/>
      <c r="J607" s="66"/>
    </row>
    <row r="608" spans="1:10">
      <c r="A608" s="59"/>
      <c r="B608" s="59"/>
      <c r="C608" s="59"/>
      <c r="D608" s="59"/>
      <c r="E608" s="59"/>
      <c r="F608" s="64"/>
      <c r="G608" s="59"/>
      <c r="H608" s="56"/>
      <c r="I608" s="64"/>
      <c r="J608" s="66"/>
    </row>
    <row r="609" spans="1:10">
      <c r="A609" s="59"/>
      <c r="B609" s="59"/>
      <c r="C609" s="59"/>
      <c r="D609" s="59"/>
      <c r="E609" s="59"/>
      <c r="F609" s="64"/>
      <c r="G609" s="59"/>
      <c r="H609" s="56"/>
      <c r="I609" s="64"/>
      <c r="J609" s="66"/>
    </row>
    <row r="610" spans="1:10">
      <c r="A610" s="59"/>
      <c r="B610" s="59"/>
      <c r="C610" s="59"/>
      <c r="D610" s="59"/>
      <c r="E610" s="59"/>
      <c r="F610" s="64"/>
      <c r="G610" s="59"/>
      <c r="H610" s="56"/>
      <c r="I610" s="64"/>
      <c r="J610" s="66"/>
    </row>
    <row r="611" spans="1:10">
      <c r="A611" s="59"/>
      <c r="B611" s="59"/>
      <c r="C611" s="59"/>
      <c r="D611" s="59"/>
      <c r="E611" s="59"/>
      <c r="F611" s="64"/>
      <c r="G611" s="59"/>
      <c r="H611" s="56"/>
      <c r="I611" s="64"/>
      <c r="J611" s="66"/>
    </row>
    <row r="612" spans="1:10">
      <c r="A612" s="59"/>
      <c r="B612" s="59"/>
      <c r="C612" s="59"/>
      <c r="D612" s="59"/>
      <c r="E612" s="59"/>
      <c r="F612" s="64"/>
      <c r="G612" s="59"/>
      <c r="H612" s="56"/>
      <c r="I612" s="64"/>
      <c r="J612" s="66"/>
    </row>
    <row r="613" spans="1:10">
      <c r="A613" s="59"/>
      <c r="B613" s="59"/>
      <c r="C613" s="59"/>
      <c r="D613" s="59"/>
      <c r="E613" s="59"/>
      <c r="F613" s="64"/>
      <c r="G613" s="59"/>
      <c r="H613" s="56"/>
      <c r="I613" s="64"/>
      <c r="J613" s="66"/>
    </row>
    <row r="614" spans="1:10">
      <c r="A614" s="59"/>
      <c r="B614" s="59"/>
      <c r="C614" s="59"/>
      <c r="D614" s="59"/>
      <c r="E614" s="59"/>
      <c r="F614" s="64"/>
      <c r="G614" s="59"/>
      <c r="H614" s="56"/>
      <c r="I614" s="64"/>
      <c r="J614" s="56"/>
    </row>
    <row r="615" spans="1:10">
      <c r="A615" s="59"/>
      <c r="B615" s="59"/>
      <c r="C615" s="59"/>
      <c r="D615" s="59"/>
      <c r="E615" s="59"/>
      <c r="F615" s="64"/>
      <c r="G615" s="59"/>
      <c r="H615" s="56"/>
      <c r="I615" s="64"/>
      <c r="J615" s="56"/>
    </row>
    <row r="616" spans="1:10">
      <c r="A616" s="59"/>
      <c r="B616" s="59"/>
      <c r="C616" s="59"/>
      <c r="D616" s="59"/>
      <c r="E616" s="59"/>
      <c r="F616" s="64"/>
      <c r="G616" s="59"/>
      <c r="H616" s="56"/>
      <c r="I616" s="64"/>
      <c r="J616" s="56"/>
    </row>
    <row r="617" spans="1:10">
      <c r="A617" s="59"/>
      <c r="B617" s="59"/>
      <c r="C617" s="59"/>
      <c r="D617" s="59"/>
      <c r="E617" s="59"/>
      <c r="F617" s="64"/>
      <c r="G617" s="59"/>
      <c r="H617" s="56"/>
      <c r="I617" s="64"/>
      <c r="J617" s="56"/>
    </row>
    <row r="618" spans="1:10">
      <c r="A618" s="59"/>
      <c r="B618" s="59"/>
      <c r="C618" s="59"/>
      <c r="D618" s="59"/>
      <c r="E618" s="59"/>
      <c r="F618" s="64"/>
      <c r="G618" s="59"/>
      <c r="H618" s="56"/>
      <c r="I618" s="64"/>
      <c r="J618" s="56"/>
    </row>
    <row r="619" spans="1:10">
      <c r="A619" s="59"/>
      <c r="B619" s="59"/>
      <c r="C619" s="59"/>
      <c r="D619" s="59"/>
      <c r="E619" s="59"/>
      <c r="F619" s="64"/>
      <c r="G619" s="59"/>
      <c r="H619" s="56"/>
      <c r="I619" s="64"/>
      <c r="J619" s="56"/>
    </row>
    <row r="620" spans="1:10">
      <c r="A620" s="59"/>
      <c r="B620" s="59"/>
      <c r="C620" s="59"/>
      <c r="D620" s="59"/>
      <c r="E620" s="59"/>
      <c r="F620" s="64"/>
      <c r="G620" s="59"/>
      <c r="H620" s="56"/>
      <c r="I620" s="64"/>
      <c r="J620" s="56"/>
    </row>
    <row r="621" spans="1:10">
      <c r="A621" s="59"/>
      <c r="B621" s="59"/>
      <c r="C621" s="59"/>
      <c r="D621" s="59"/>
      <c r="E621" s="59"/>
      <c r="F621" s="64"/>
      <c r="G621" s="59"/>
      <c r="H621" s="56"/>
      <c r="I621" s="64"/>
      <c r="J621" s="56"/>
    </row>
    <row r="622" spans="1:10">
      <c r="A622" s="59"/>
      <c r="B622" s="59"/>
      <c r="C622" s="59"/>
      <c r="D622" s="59"/>
      <c r="E622" s="59"/>
      <c r="F622" s="64"/>
      <c r="G622" s="59"/>
      <c r="H622" s="56"/>
      <c r="I622" s="64"/>
      <c r="J622" s="56"/>
    </row>
    <row r="623" spans="1:10">
      <c r="A623" s="59"/>
      <c r="B623" s="59"/>
      <c r="C623" s="59"/>
      <c r="D623" s="59"/>
      <c r="E623" s="59"/>
      <c r="F623" s="64"/>
      <c r="G623" s="59"/>
      <c r="H623" s="56"/>
      <c r="I623" s="64"/>
      <c r="J623" s="56"/>
    </row>
    <row r="624" spans="1:10">
      <c r="A624" s="59"/>
      <c r="B624" s="59"/>
      <c r="C624" s="59"/>
      <c r="D624" s="59"/>
      <c r="E624" s="59"/>
      <c r="F624" s="64"/>
      <c r="G624" s="59"/>
      <c r="H624" s="56"/>
      <c r="I624" s="64"/>
      <c r="J624" s="56"/>
    </row>
    <row r="625" spans="1:10">
      <c r="A625" s="59"/>
      <c r="B625" s="59"/>
      <c r="C625" s="59"/>
      <c r="D625" s="59"/>
      <c r="E625" s="59"/>
      <c r="F625" s="64"/>
      <c r="G625" s="59"/>
      <c r="H625" s="56"/>
      <c r="I625" s="64"/>
      <c r="J625" s="56"/>
    </row>
    <row r="626" spans="1:10">
      <c r="A626" s="59"/>
      <c r="B626" s="59"/>
      <c r="C626" s="59"/>
      <c r="D626" s="59"/>
      <c r="E626" s="59"/>
      <c r="F626" s="64"/>
      <c r="G626" s="59"/>
      <c r="H626" s="56"/>
      <c r="I626" s="64"/>
      <c r="J626" s="56"/>
    </row>
    <row r="627" spans="1:10">
      <c r="A627" s="59"/>
      <c r="B627" s="59"/>
      <c r="C627" s="59"/>
      <c r="D627" s="59"/>
      <c r="E627" s="59"/>
      <c r="F627" s="64"/>
      <c r="G627" s="59"/>
      <c r="H627" s="56"/>
      <c r="I627" s="64"/>
      <c r="J627" s="56"/>
    </row>
    <row r="628" spans="1:10">
      <c r="A628" s="59"/>
      <c r="B628" s="59"/>
      <c r="C628" s="59"/>
      <c r="D628" s="59"/>
      <c r="E628" s="59"/>
      <c r="F628" s="64"/>
      <c r="G628" s="59"/>
      <c r="H628" s="56"/>
      <c r="I628" s="64"/>
      <c r="J628" s="56"/>
    </row>
    <row r="629" spans="1:10">
      <c r="A629" s="59"/>
      <c r="B629" s="59"/>
      <c r="C629" s="59"/>
      <c r="D629" s="59"/>
      <c r="E629" s="59"/>
      <c r="F629" s="64"/>
      <c r="G629" s="59"/>
      <c r="H629" s="56"/>
      <c r="I629" s="64"/>
      <c r="J629" s="56"/>
    </row>
    <row r="630" spans="1:10">
      <c r="A630" s="59"/>
      <c r="B630" s="59"/>
      <c r="C630" s="59"/>
      <c r="D630" s="59"/>
      <c r="E630" s="59"/>
      <c r="F630" s="64"/>
      <c r="G630" s="59"/>
      <c r="H630" s="56"/>
      <c r="I630" s="64"/>
      <c r="J630" s="56"/>
    </row>
    <row r="631" spans="1:10">
      <c r="A631" s="59"/>
      <c r="B631" s="59"/>
      <c r="C631" s="59"/>
      <c r="D631" s="59"/>
      <c r="E631" s="59"/>
      <c r="F631" s="64"/>
      <c r="G631" s="59"/>
      <c r="H631" s="56"/>
      <c r="I631" s="64"/>
      <c r="J631" s="56"/>
    </row>
    <row r="632" spans="1:10">
      <c r="A632" s="59"/>
      <c r="B632" s="59"/>
      <c r="C632" s="59"/>
      <c r="D632" s="59"/>
      <c r="E632" s="59"/>
      <c r="F632" s="64"/>
      <c r="G632" s="59"/>
      <c r="H632" s="56"/>
      <c r="I632" s="64"/>
      <c r="J632" s="56"/>
    </row>
    <row r="633" spans="1:10">
      <c r="A633" s="59"/>
      <c r="B633" s="59"/>
      <c r="C633" s="59"/>
      <c r="D633" s="59"/>
      <c r="E633" s="59"/>
      <c r="F633" s="64"/>
      <c r="G633" s="59"/>
      <c r="H633" s="56"/>
      <c r="I633" s="64"/>
      <c r="J633" s="56"/>
    </row>
    <row r="634" spans="1:10">
      <c r="A634" s="59"/>
      <c r="B634" s="59"/>
      <c r="C634" s="59"/>
      <c r="D634" s="59"/>
      <c r="E634" s="59"/>
      <c r="F634" s="64"/>
      <c r="G634" s="59"/>
      <c r="H634" s="56"/>
      <c r="I634" s="64"/>
      <c r="J634" s="56"/>
    </row>
    <row r="635" spans="1:10">
      <c r="A635" s="59"/>
      <c r="B635" s="59"/>
      <c r="C635" s="59"/>
      <c r="D635" s="59"/>
      <c r="E635" s="59"/>
      <c r="F635" s="64"/>
      <c r="G635" s="59"/>
      <c r="H635" s="56"/>
      <c r="I635" s="64"/>
      <c r="J635" s="56"/>
    </row>
    <row r="636" spans="1:10">
      <c r="A636" s="59"/>
      <c r="B636" s="59"/>
      <c r="C636" s="59"/>
      <c r="D636" s="59"/>
      <c r="E636" s="59"/>
      <c r="F636" s="64"/>
      <c r="G636" s="59"/>
      <c r="H636" s="56"/>
      <c r="I636" s="64"/>
      <c r="J636" s="56"/>
    </row>
    <row r="637" spans="1:10">
      <c r="A637" s="59"/>
      <c r="B637" s="59"/>
      <c r="C637" s="59"/>
      <c r="D637" s="59"/>
      <c r="E637" s="59"/>
      <c r="F637" s="64"/>
      <c r="G637" s="59"/>
      <c r="H637" s="56"/>
      <c r="I637" s="64"/>
      <c r="J637" s="56"/>
    </row>
    <row r="638" spans="1:10">
      <c r="A638" s="59"/>
      <c r="B638" s="59"/>
      <c r="C638" s="59"/>
      <c r="D638" s="59"/>
      <c r="E638" s="59"/>
      <c r="F638" s="64"/>
      <c r="G638" s="59"/>
      <c r="H638" s="56"/>
      <c r="I638" s="64"/>
      <c r="J638" s="56"/>
    </row>
    <row r="639" spans="1:10">
      <c r="A639" s="59"/>
      <c r="B639" s="59"/>
      <c r="C639" s="59"/>
      <c r="D639" s="59"/>
      <c r="E639" s="59"/>
      <c r="F639" s="64"/>
      <c r="G639" s="59"/>
      <c r="H639" s="56"/>
      <c r="I639" s="64"/>
      <c r="J639" s="56"/>
    </row>
    <row r="640" spans="1:10">
      <c r="A640" s="59"/>
      <c r="B640" s="59"/>
      <c r="C640" s="59"/>
      <c r="D640" s="59"/>
      <c r="E640" s="59"/>
      <c r="F640" s="64"/>
      <c r="G640" s="59"/>
      <c r="H640" s="56"/>
      <c r="I640" s="64"/>
      <c r="J640" s="56"/>
    </row>
    <row r="641" spans="1:10">
      <c r="A641" s="59"/>
      <c r="B641" s="59"/>
      <c r="C641" s="59"/>
      <c r="D641" s="59"/>
      <c r="E641" s="59"/>
      <c r="F641" s="64"/>
      <c r="G641" s="59"/>
      <c r="H641" s="56"/>
      <c r="I641" s="64"/>
      <c r="J641" s="56"/>
    </row>
    <row r="642" spans="1:10">
      <c r="A642" s="59"/>
      <c r="B642" s="59"/>
      <c r="C642" s="59"/>
      <c r="D642" s="59"/>
      <c r="E642" s="59"/>
      <c r="F642" s="64"/>
      <c r="G642" s="59"/>
      <c r="H642" s="56"/>
      <c r="I642" s="64"/>
      <c r="J642" s="56"/>
    </row>
    <row r="643" spans="1:10">
      <c r="A643" s="59"/>
      <c r="B643" s="59"/>
      <c r="C643" s="59"/>
      <c r="D643" s="59"/>
      <c r="E643" s="59"/>
      <c r="F643" s="64"/>
      <c r="G643" s="59"/>
      <c r="H643" s="56"/>
      <c r="I643" s="64"/>
      <c r="J643" s="56"/>
    </row>
    <row r="644" spans="1:10">
      <c r="A644" s="59"/>
      <c r="B644" s="59"/>
      <c r="C644" s="59"/>
      <c r="D644" s="59"/>
      <c r="E644" s="59"/>
      <c r="F644" s="64"/>
      <c r="G644" s="59"/>
      <c r="H644" s="56"/>
      <c r="I644" s="64"/>
      <c r="J644" s="56"/>
    </row>
    <row r="645" spans="1:10">
      <c r="A645" s="59"/>
      <c r="B645" s="59"/>
      <c r="C645" s="59"/>
      <c r="D645" s="59"/>
      <c r="E645" s="59"/>
      <c r="F645" s="64"/>
      <c r="G645" s="59"/>
      <c r="H645" s="56"/>
      <c r="I645" s="64"/>
      <c r="J645" s="56"/>
    </row>
    <row r="646" spans="1:10">
      <c r="A646" s="59"/>
      <c r="B646" s="59"/>
      <c r="C646" s="59"/>
      <c r="D646" s="59"/>
      <c r="E646" s="59"/>
      <c r="F646" s="64"/>
      <c r="G646" s="59"/>
      <c r="H646" s="56"/>
      <c r="I646" s="64"/>
      <c r="J646" s="56"/>
    </row>
    <row r="647" spans="1:10">
      <c r="A647" s="59"/>
      <c r="B647" s="59"/>
      <c r="C647" s="59"/>
      <c r="D647" s="59"/>
      <c r="E647" s="59"/>
      <c r="F647" s="64"/>
      <c r="G647" s="59"/>
      <c r="H647" s="56"/>
      <c r="I647" s="64"/>
      <c r="J647" s="56"/>
    </row>
    <row r="648" spans="1:10">
      <c r="A648" s="59"/>
      <c r="B648" s="59"/>
      <c r="C648" s="59"/>
      <c r="D648" s="59"/>
      <c r="E648" s="59"/>
      <c r="F648" s="64"/>
      <c r="G648" s="59"/>
      <c r="H648" s="56"/>
      <c r="I648" s="64"/>
      <c r="J648" s="56"/>
    </row>
    <row r="649" spans="1:10">
      <c r="A649" s="59"/>
      <c r="B649" s="59"/>
      <c r="C649" s="59"/>
      <c r="D649" s="59"/>
      <c r="E649" s="59"/>
      <c r="F649" s="64"/>
      <c r="G649" s="59"/>
      <c r="H649" s="56"/>
      <c r="I649" s="64"/>
      <c r="J649" s="56"/>
    </row>
    <row r="650" spans="1:10">
      <c r="A650" s="59"/>
      <c r="B650" s="59"/>
      <c r="C650" s="59"/>
      <c r="D650" s="59"/>
      <c r="E650" s="59"/>
      <c r="F650" s="64"/>
      <c r="G650" s="59"/>
      <c r="H650" s="56"/>
      <c r="I650" s="64"/>
      <c r="J650" s="56"/>
    </row>
    <row r="651" spans="1:10">
      <c r="A651" s="59"/>
      <c r="B651" s="59"/>
      <c r="C651" s="59"/>
      <c r="D651" s="59"/>
      <c r="E651" s="59"/>
      <c r="F651" s="64"/>
      <c r="G651" s="59"/>
      <c r="H651" s="56"/>
      <c r="I651" s="64"/>
      <c r="J651" s="56"/>
    </row>
    <row r="652" spans="1:10">
      <c r="A652" s="59"/>
      <c r="B652" s="59"/>
      <c r="C652" s="59"/>
      <c r="D652" s="59"/>
      <c r="E652" s="59"/>
      <c r="F652" s="64"/>
      <c r="G652" s="59"/>
      <c r="H652" s="56"/>
      <c r="I652" s="64"/>
      <c r="J652" s="56"/>
    </row>
    <row r="653" spans="1:10">
      <c r="A653" s="59"/>
      <c r="B653" s="59"/>
      <c r="C653" s="59"/>
      <c r="D653" s="59"/>
      <c r="E653" s="59"/>
      <c r="F653" s="64"/>
      <c r="G653" s="59"/>
      <c r="H653" s="56"/>
      <c r="I653" s="64"/>
      <c r="J653" s="56"/>
    </row>
    <row r="654" spans="1:10">
      <c r="A654" s="59"/>
      <c r="B654" s="59"/>
      <c r="C654" s="59"/>
      <c r="D654" s="59"/>
      <c r="E654" s="59"/>
      <c r="F654" s="64"/>
      <c r="G654" s="59"/>
      <c r="H654" s="56"/>
      <c r="I654" s="64"/>
      <c r="J654" s="56"/>
    </row>
    <row r="655" spans="1:10">
      <c r="A655" s="59"/>
      <c r="B655" s="59"/>
      <c r="C655" s="59"/>
      <c r="D655" s="59"/>
      <c r="E655" s="59"/>
      <c r="F655" s="64"/>
      <c r="G655" s="59"/>
      <c r="H655" s="56"/>
      <c r="I655" s="64"/>
      <c r="J655" s="56"/>
    </row>
    <row r="656" spans="1:10">
      <c r="A656" s="59"/>
      <c r="B656" s="59"/>
      <c r="C656" s="59"/>
      <c r="D656" s="59"/>
      <c r="E656" s="59"/>
      <c r="F656" s="64"/>
      <c r="G656" s="59"/>
      <c r="H656" s="56"/>
      <c r="I656" s="64"/>
      <c r="J656" s="56"/>
    </row>
    <row r="657" spans="1:10">
      <c r="A657" s="59"/>
      <c r="B657" s="59"/>
      <c r="C657" s="59"/>
      <c r="D657" s="59"/>
      <c r="E657" s="59"/>
      <c r="F657" s="64"/>
      <c r="G657" s="59"/>
      <c r="H657" s="56"/>
      <c r="I657" s="64"/>
      <c r="J657" s="56"/>
    </row>
    <row r="658" spans="1:10">
      <c r="A658" s="59"/>
      <c r="B658" s="59"/>
      <c r="C658" s="59"/>
      <c r="D658" s="59"/>
      <c r="E658" s="59"/>
      <c r="F658" s="64"/>
      <c r="G658" s="59"/>
      <c r="H658" s="56"/>
      <c r="I658" s="64"/>
      <c r="J658" s="56"/>
    </row>
    <row r="659" spans="1:10">
      <c r="A659" s="59"/>
      <c r="B659" s="59"/>
      <c r="C659" s="59"/>
      <c r="D659" s="59"/>
      <c r="E659" s="59"/>
      <c r="F659" s="64"/>
      <c r="G659" s="59"/>
      <c r="H659" s="56"/>
      <c r="I659" s="64"/>
      <c r="J659" s="56"/>
    </row>
    <row r="660" spans="1:10">
      <c r="A660" s="59"/>
      <c r="B660" s="59"/>
      <c r="C660" s="59"/>
      <c r="D660" s="59"/>
      <c r="E660" s="59"/>
      <c r="F660" s="64"/>
      <c r="G660" s="59"/>
      <c r="H660" s="56"/>
      <c r="I660" s="64"/>
      <c r="J660" s="56"/>
    </row>
    <row r="661" spans="1:10">
      <c r="A661" s="59"/>
      <c r="B661" s="59"/>
      <c r="C661" s="59"/>
      <c r="D661" s="59"/>
      <c r="E661" s="59"/>
      <c r="F661" s="64"/>
      <c r="G661" s="59"/>
      <c r="H661" s="56"/>
      <c r="I661" s="64"/>
      <c r="J661" s="56"/>
    </row>
    <row r="662" spans="1:10">
      <c r="A662" s="59"/>
      <c r="B662" s="59"/>
      <c r="C662" s="59"/>
      <c r="D662" s="59"/>
      <c r="E662" s="59"/>
      <c r="F662" s="64"/>
      <c r="G662" s="59"/>
      <c r="H662" s="56"/>
      <c r="I662" s="64"/>
      <c r="J662" s="56"/>
    </row>
    <row r="663" spans="1:10">
      <c r="A663" s="59"/>
      <c r="B663" s="59"/>
      <c r="C663" s="59"/>
      <c r="D663" s="59"/>
      <c r="E663" s="59"/>
      <c r="F663" s="64"/>
      <c r="G663" s="59"/>
      <c r="H663" s="56"/>
      <c r="I663" s="64"/>
      <c r="J663" s="56"/>
    </row>
    <row r="664" spans="1:10">
      <c r="A664" s="59"/>
      <c r="B664" s="59"/>
      <c r="C664" s="59"/>
      <c r="D664" s="59"/>
      <c r="E664" s="59"/>
      <c r="F664" s="64"/>
      <c r="G664" s="59"/>
      <c r="H664" s="56"/>
      <c r="I664" s="64"/>
      <c r="J664" s="56"/>
    </row>
    <row r="665" spans="1:10">
      <c r="A665" s="59"/>
      <c r="B665" s="59"/>
      <c r="C665" s="59"/>
      <c r="D665" s="59"/>
      <c r="E665" s="59"/>
      <c r="F665" s="64"/>
      <c r="G665" s="59"/>
      <c r="H665" s="56"/>
      <c r="I665" s="64"/>
      <c r="J665" s="56"/>
    </row>
    <row r="666" spans="1:10">
      <c r="A666" s="59"/>
      <c r="B666" s="59"/>
      <c r="C666" s="59"/>
      <c r="D666" s="59"/>
      <c r="E666" s="59"/>
      <c r="F666" s="64"/>
      <c r="G666" s="59"/>
      <c r="H666" s="56"/>
      <c r="I666" s="64"/>
      <c r="J666" s="56"/>
    </row>
    <row r="667" spans="1:10">
      <c r="A667" s="59"/>
      <c r="B667" s="59"/>
      <c r="C667" s="59"/>
      <c r="D667" s="59"/>
      <c r="E667" s="59"/>
      <c r="F667" s="64"/>
      <c r="G667" s="59"/>
      <c r="H667" s="56"/>
      <c r="I667" s="64"/>
      <c r="J667" s="56"/>
    </row>
    <row r="668" spans="1:10">
      <c r="A668" s="59"/>
      <c r="B668" s="59"/>
      <c r="C668" s="59"/>
      <c r="D668" s="59"/>
      <c r="E668" s="59"/>
      <c r="F668" s="64"/>
      <c r="G668" s="59"/>
      <c r="H668" s="56"/>
      <c r="I668" s="64"/>
      <c r="J668" s="56"/>
    </row>
    <row r="669" spans="1:10">
      <c r="A669" s="59"/>
      <c r="B669" s="59"/>
      <c r="C669" s="59"/>
      <c r="D669" s="59"/>
      <c r="E669" s="59"/>
      <c r="F669" s="64"/>
      <c r="G669" s="59"/>
      <c r="H669" s="56"/>
      <c r="I669" s="64"/>
      <c r="J669" s="56"/>
    </row>
    <row r="670" spans="1:10">
      <c r="A670" s="59"/>
      <c r="B670" s="59"/>
      <c r="C670" s="59"/>
      <c r="D670" s="59"/>
      <c r="E670" s="59"/>
      <c r="F670" s="64"/>
      <c r="G670" s="59"/>
      <c r="H670" s="56"/>
      <c r="I670" s="64"/>
      <c r="J670" s="56"/>
    </row>
    <row r="671" spans="1:10">
      <c r="A671" s="59"/>
      <c r="B671" s="59"/>
      <c r="C671" s="59"/>
      <c r="D671" s="59"/>
      <c r="E671" s="59"/>
      <c r="F671" s="64"/>
      <c r="G671" s="59"/>
      <c r="H671" s="56"/>
      <c r="I671" s="64"/>
      <c r="J671" s="56"/>
    </row>
    <row r="672" spans="1:10">
      <c r="A672" s="59"/>
      <c r="B672" s="59"/>
      <c r="C672" s="59"/>
      <c r="D672" s="59"/>
      <c r="E672" s="59"/>
      <c r="F672" s="64"/>
      <c r="G672" s="59"/>
      <c r="H672" s="56"/>
      <c r="I672" s="64"/>
      <c r="J672" s="56"/>
    </row>
    <row r="673" spans="1:10">
      <c r="A673" s="59"/>
      <c r="B673" s="59"/>
      <c r="C673" s="59"/>
      <c r="D673" s="59"/>
      <c r="E673" s="59"/>
      <c r="F673" s="64"/>
      <c r="G673" s="59"/>
      <c r="H673" s="56"/>
      <c r="I673" s="64"/>
      <c r="J673" s="56"/>
    </row>
    <row r="674" spans="1:10">
      <c r="A674" s="59"/>
      <c r="B674" s="59"/>
      <c r="C674" s="59"/>
      <c r="D674" s="59"/>
      <c r="E674" s="59"/>
      <c r="F674" s="64"/>
      <c r="G674" s="59"/>
      <c r="H674" s="56"/>
      <c r="I674" s="64"/>
      <c r="J674" s="56"/>
    </row>
    <row r="675" spans="1:10">
      <c r="A675" s="59"/>
      <c r="B675" s="59"/>
      <c r="C675" s="59"/>
      <c r="D675" s="59"/>
      <c r="E675" s="59"/>
      <c r="F675" s="64"/>
      <c r="G675" s="59"/>
      <c r="H675" s="56"/>
      <c r="I675" s="64"/>
      <c r="J675" s="56"/>
    </row>
    <row r="676" spans="1:10">
      <c r="A676" s="59"/>
      <c r="B676" s="59"/>
      <c r="C676" s="59"/>
      <c r="D676" s="59"/>
      <c r="E676" s="59"/>
      <c r="F676" s="64"/>
      <c r="G676" s="59"/>
      <c r="H676" s="56"/>
      <c r="I676" s="64"/>
      <c r="J676" s="56"/>
    </row>
    <row r="677" spans="1:10">
      <c r="A677" s="59"/>
      <c r="B677" s="59"/>
      <c r="C677" s="59"/>
      <c r="D677" s="59"/>
      <c r="E677" s="59"/>
      <c r="F677" s="64"/>
      <c r="G677" s="59"/>
      <c r="H677" s="56"/>
      <c r="I677" s="64"/>
      <c r="J677" s="56"/>
    </row>
    <row r="678" spans="1:10">
      <c r="A678" s="59"/>
      <c r="B678" s="59"/>
      <c r="C678" s="59"/>
      <c r="D678" s="59"/>
      <c r="E678" s="59"/>
      <c r="F678" s="64"/>
      <c r="G678" s="59"/>
      <c r="H678" s="56"/>
      <c r="I678" s="64"/>
      <c r="J678" s="56"/>
    </row>
    <row r="679" spans="1:10">
      <c r="A679" s="59"/>
      <c r="B679" s="59"/>
      <c r="C679" s="59"/>
      <c r="D679" s="59"/>
      <c r="E679" s="59"/>
      <c r="F679" s="64"/>
      <c r="G679" s="59"/>
      <c r="H679" s="56"/>
      <c r="I679" s="64"/>
      <c r="J679" s="56"/>
    </row>
    <row r="680" spans="1:10">
      <c r="A680" s="59"/>
      <c r="B680" s="59"/>
      <c r="C680" s="59"/>
      <c r="D680" s="59"/>
      <c r="E680" s="59"/>
      <c r="F680" s="64"/>
      <c r="G680" s="59"/>
      <c r="H680" s="56"/>
      <c r="I680" s="64"/>
      <c r="J680" s="56"/>
    </row>
    <row r="681" spans="1:10">
      <c r="A681" s="59"/>
      <c r="B681" s="59"/>
      <c r="C681" s="59"/>
      <c r="D681" s="59"/>
      <c r="E681" s="59"/>
      <c r="F681" s="64"/>
      <c r="G681" s="59"/>
      <c r="H681" s="56"/>
      <c r="I681" s="64"/>
      <c r="J681" s="56"/>
    </row>
    <row r="682" spans="1:10">
      <c r="A682" s="59"/>
      <c r="B682" s="59"/>
      <c r="C682" s="59"/>
      <c r="D682" s="59"/>
      <c r="E682" s="59"/>
      <c r="F682" s="64"/>
      <c r="G682" s="59"/>
      <c r="H682" s="56"/>
      <c r="I682" s="64"/>
      <c r="J682" s="56"/>
    </row>
    <row r="683" spans="1:10">
      <c r="A683" s="59"/>
      <c r="B683" s="59"/>
      <c r="C683" s="59"/>
      <c r="D683" s="59"/>
      <c r="E683" s="59"/>
      <c r="F683" s="64"/>
      <c r="G683" s="59"/>
      <c r="H683" s="56"/>
      <c r="I683" s="64"/>
      <c r="J683" s="56"/>
    </row>
    <row r="684" spans="1:10">
      <c r="A684" s="59"/>
      <c r="B684" s="59"/>
      <c r="C684" s="59"/>
      <c r="D684" s="59"/>
      <c r="E684" s="59"/>
      <c r="F684" s="64"/>
      <c r="G684" s="59"/>
      <c r="H684" s="56"/>
      <c r="I684" s="64"/>
      <c r="J684" s="56"/>
    </row>
    <row r="685" spans="1:10">
      <c r="A685" s="59"/>
      <c r="B685" s="59"/>
      <c r="C685" s="59"/>
      <c r="D685" s="59"/>
      <c r="E685" s="59"/>
      <c r="F685" s="64"/>
      <c r="G685" s="59"/>
      <c r="H685" s="56"/>
      <c r="I685" s="64"/>
      <c r="J685" s="56"/>
    </row>
    <row r="686" spans="1:10">
      <c r="A686" s="59"/>
      <c r="B686" s="59"/>
      <c r="C686" s="59"/>
      <c r="D686" s="59"/>
      <c r="E686" s="59"/>
      <c r="F686" s="64"/>
      <c r="G686" s="59"/>
      <c r="H686" s="56"/>
      <c r="I686" s="64"/>
      <c r="J686" s="56"/>
    </row>
    <row r="687" spans="1:10">
      <c r="A687" s="59"/>
      <c r="B687" s="59"/>
      <c r="C687" s="59"/>
      <c r="D687" s="59"/>
      <c r="E687" s="59"/>
      <c r="F687" s="64"/>
      <c r="G687" s="59"/>
      <c r="H687" s="56"/>
      <c r="I687" s="64"/>
      <c r="J687" s="56"/>
    </row>
    <row r="688" spans="1:10">
      <c r="A688" s="59"/>
      <c r="B688" s="59"/>
      <c r="C688" s="59"/>
      <c r="D688" s="59"/>
      <c r="E688" s="59"/>
      <c r="F688" s="64"/>
      <c r="G688" s="59"/>
      <c r="H688" s="56"/>
      <c r="I688" s="64"/>
      <c r="J688" s="56"/>
    </row>
    <row r="689" spans="1:10">
      <c r="A689" s="59"/>
      <c r="B689" s="59"/>
      <c r="C689" s="59"/>
      <c r="D689" s="59"/>
      <c r="E689" s="59"/>
      <c r="F689" s="64"/>
      <c r="G689" s="59"/>
      <c r="H689" s="56"/>
      <c r="I689" s="64"/>
      <c r="J689" s="56"/>
    </row>
    <row r="690" spans="1:10">
      <c r="A690" s="59"/>
      <c r="B690" s="59"/>
      <c r="C690" s="59"/>
      <c r="D690" s="59"/>
      <c r="E690" s="59"/>
      <c r="F690" s="64"/>
      <c r="G690" s="59"/>
      <c r="H690" s="56"/>
      <c r="I690" s="64"/>
      <c r="J690" s="56"/>
    </row>
    <row r="691" spans="1:10">
      <c r="A691" s="59"/>
      <c r="B691" s="59"/>
      <c r="C691" s="59"/>
      <c r="D691" s="59"/>
      <c r="E691" s="59"/>
      <c r="F691" s="64"/>
      <c r="G691" s="59"/>
      <c r="H691" s="56"/>
      <c r="I691" s="64"/>
      <c r="J691" s="56"/>
    </row>
    <row r="692" spans="1:10">
      <c r="A692" s="59"/>
      <c r="B692" s="59"/>
      <c r="C692" s="59"/>
      <c r="D692" s="59"/>
      <c r="E692" s="59"/>
      <c r="F692" s="64"/>
      <c r="G692" s="59"/>
      <c r="H692" s="56"/>
      <c r="I692" s="64"/>
      <c r="J692" s="56"/>
    </row>
    <row r="693" spans="1:10">
      <c r="A693" s="59"/>
      <c r="B693" s="59"/>
      <c r="C693" s="59"/>
      <c r="D693" s="59"/>
      <c r="E693" s="59"/>
      <c r="F693" s="64"/>
      <c r="G693" s="59"/>
      <c r="H693" s="56"/>
      <c r="I693" s="64"/>
      <c r="J693" s="56"/>
    </row>
    <row r="694" spans="1:10">
      <c r="A694" s="59"/>
      <c r="B694" s="59"/>
      <c r="C694" s="59"/>
      <c r="D694" s="59"/>
      <c r="E694" s="59"/>
      <c r="F694" s="64"/>
      <c r="G694" s="59"/>
      <c r="H694" s="56"/>
      <c r="I694" s="64"/>
      <c r="J694" s="56"/>
    </row>
    <row r="695" spans="1:10">
      <c r="A695" s="59"/>
      <c r="B695" s="59"/>
      <c r="C695" s="59"/>
      <c r="D695" s="59"/>
      <c r="E695" s="59"/>
      <c r="F695" s="64"/>
      <c r="G695" s="59"/>
      <c r="H695" s="56"/>
      <c r="I695" s="64"/>
      <c r="J695" s="56"/>
    </row>
    <row r="696" spans="1:10">
      <c r="A696" s="59"/>
      <c r="B696" s="59"/>
      <c r="C696" s="59"/>
      <c r="D696" s="59"/>
      <c r="E696" s="59"/>
      <c r="F696" s="64"/>
      <c r="G696" s="59"/>
      <c r="H696" s="56"/>
      <c r="I696" s="64"/>
      <c r="J696" s="56"/>
    </row>
    <row r="697" spans="1:10">
      <c r="A697" s="59"/>
      <c r="B697" s="59"/>
      <c r="C697" s="59"/>
      <c r="D697" s="59"/>
      <c r="E697" s="59"/>
      <c r="F697" s="64"/>
      <c r="G697" s="59"/>
      <c r="H697" s="56"/>
      <c r="I697" s="64"/>
      <c r="J697" s="56"/>
    </row>
    <row r="698" spans="1:10">
      <c r="A698" s="59"/>
      <c r="B698" s="59"/>
      <c r="C698" s="59"/>
      <c r="D698" s="59"/>
      <c r="E698" s="59"/>
      <c r="F698" s="64"/>
      <c r="G698" s="59"/>
      <c r="H698" s="56"/>
      <c r="I698" s="64"/>
      <c r="J698" s="56"/>
    </row>
    <row r="699" spans="1:10">
      <c r="A699" s="59"/>
      <c r="B699" s="59"/>
      <c r="C699" s="59"/>
      <c r="D699" s="59"/>
      <c r="E699" s="59"/>
      <c r="F699" s="64"/>
      <c r="G699" s="59"/>
      <c r="H699" s="56"/>
      <c r="I699" s="64"/>
      <c r="J699" s="56"/>
    </row>
    <row r="700" spans="1:10">
      <c r="A700" s="59"/>
      <c r="B700" s="59"/>
      <c r="C700" s="59"/>
      <c r="D700" s="59"/>
      <c r="E700" s="59"/>
      <c r="F700" s="64"/>
      <c r="G700" s="59"/>
      <c r="H700" s="56"/>
      <c r="I700" s="64"/>
      <c r="J700" s="56"/>
    </row>
    <row r="701" spans="1:10">
      <c r="A701" s="59"/>
      <c r="B701" s="59"/>
      <c r="C701" s="59"/>
      <c r="D701" s="59"/>
      <c r="E701" s="59"/>
      <c r="F701" s="64"/>
      <c r="G701" s="59"/>
      <c r="H701" s="56"/>
      <c r="I701" s="64"/>
      <c r="J701" s="56"/>
    </row>
    <row r="702" spans="1:10">
      <c r="A702" s="59"/>
      <c r="B702" s="59"/>
      <c r="C702" s="59"/>
      <c r="D702" s="59"/>
      <c r="E702" s="59"/>
      <c r="F702" s="64"/>
      <c r="G702" s="59"/>
      <c r="H702" s="56"/>
      <c r="I702" s="64"/>
      <c r="J702" s="56"/>
    </row>
    <row r="703" spans="1:10">
      <c r="A703" s="59"/>
      <c r="B703" s="59"/>
      <c r="C703" s="59"/>
      <c r="D703" s="59"/>
      <c r="E703" s="59"/>
      <c r="F703" s="64"/>
      <c r="G703" s="59"/>
      <c r="H703" s="56"/>
      <c r="I703" s="64"/>
      <c r="J703" s="56"/>
    </row>
    <row r="704" spans="1:10">
      <c r="A704" s="59"/>
      <c r="B704" s="59"/>
      <c r="C704" s="59"/>
      <c r="D704" s="59"/>
      <c r="E704" s="59"/>
      <c r="F704" s="64"/>
      <c r="G704" s="59"/>
      <c r="H704" s="56"/>
      <c r="I704" s="64"/>
      <c r="J704" s="56"/>
    </row>
    <row r="705" spans="1:10">
      <c r="A705" s="59"/>
      <c r="B705" s="59"/>
      <c r="C705" s="59"/>
      <c r="D705" s="59"/>
      <c r="E705" s="59"/>
      <c r="F705" s="64"/>
      <c r="G705" s="59"/>
      <c r="H705" s="56"/>
      <c r="I705" s="64"/>
      <c r="J705" s="56"/>
    </row>
    <row r="706" spans="1:10">
      <c r="A706" s="59"/>
      <c r="B706" s="59"/>
      <c r="C706" s="59"/>
      <c r="D706" s="59"/>
      <c r="E706" s="59"/>
      <c r="F706" s="64"/>
      <c r="G706" s="59"/>
      <c r="H706" s="56"/>
      <c r="I706" s="64"/>
      <c r="J706" s="56"/>
    </row>
    <row r="707" spans="1:10">
      <c r="A707" s="59"/>
      <c r="B707" s="59"/>
      <c r="C707" s="59"/>
      <c r="D707" s="59"/>
      <c r="E707" s="59"/>
      <c r="F707" s="64"/>
      <c r="G707" s="59"/>
      <c r="H707" s="56"/>
      <c r="I707" s="64"/>
      <c r="J707" s="56"/>
    </row>
    <row r="708" spans="1:10">
      <c r="A708" s="59"/>
      <c r="B708" s="59"/>
      <c r="C708" s="59"/>
      <c r="D708" s="59"/>
      <c r="E708" s="59"/>
      <c r="F708" s="64"/>
      <c r="G708" s="59"/>
      <c r="H708" s="56"/>
      <c r="I708" s="64"/>
      <c r="J708" s="56"/>
    </row>
    <row r="709" spans="1:10">
      <c r="A709" s="59"/>
      <c r="B709" s="59"/>
      <c r="C709" s="59"/>
      <c r="D709" s="59"/>
      <c r="E709" s="59"/>
      <c r="F709" s="64"/>
      <c r="G709" s="59"/>
      <c r="H709" s="56"/>
      <c r="I709" s="64"/>
      <c r="J709" s="56"/>
    </row>
    <row r="710" spans="1:10">
      <c r="A710" s="59"/>
      <c r="B710" s="59"/>
      <c r="C710" s="59"/>
      <c r="D710" s="59"/>
      <c r="E710" s="59"/>
      <c r="F710" s="64"/>
      <c r="G710" s="59"/>
      <c r="H710" s="56"/>
      <c r="I710" s="64"/>
      <c r="J710" s="56"/>
    </row>
    <row r="711" spans="1:10">
      <c r="A711" s="59"/>
      <c r="B711" s="59"/>
      <c r="C711" s="59"/>
      <c r="D711" s="59"/>
      <c r="E711" s="59"/>
      <c r="F711" s="64"/>
      <c r="G711" s="59"/>
      <c r="H711" s="56"/>
      <c r="I711" s="64"/>
      <c r="J711" s="56"/>
    </row>
    <row r="712" spans="1:10">
      <c r="A712" s="59"/>
      <c r="B712" s="59"/>
      <c r="C712" s="59"/>
      <c r="D712" s="59"/>
      <c r="E712" s="59"/>
      <c r="F712" s="64"/>
      <c r="G712" s="59"/>
      <c r="H712" s="56"/>
      <c r="I712" s="64"/>
      <c r="J712" s="56"/>
    </row>
    <row r="713" spans="1:10">
      <c r="A713" s="59"/>
      <c r="B713" s="59"/>
      <c r="C713" s="59"/>
      <c r="D713" s="59"/>
      <c r="E713" s="59"/>
      <c r="F713" s="64"/>
      <c r="G713" s="59"/>
      <c r="H713" s="56"/>
      <c r="I713" s="64"/>
      <c r="J713" s="56"/>
    </row>
    <row r="714" spans="1:10">
      <c r="A714" s="59"/>
      <c r="B714" s="59"/>
      <c r="C714" s="59"/>
      <c r="D714" s="59"/>
      <c r="E714" s="59"/>
      <c r="F714" s="64"/>
      <c r="G714" s="59"/>
      <c r="H714" s="56"/>
      <c r="I714" s="64"/>
      <c r="J714" s="56"/>
    </row>
    <row r="715" spans="1:10">
      <c r="A715" s="59"/>
      <c r="B715" s="59"/>
      <c r="C715" s="59"/>
      <c r="D715" s="59"/>
      <c r="E715" s="59"/>
      <c r="F715" s="64"/>
      <c r="G715" s="59"/>
      <c r="H715" s="56"/>
      <c r="I715" s="64"/>
      <c r="J715" s="56"/>
    </row>
    <row r="716" spans="1:10">
      <c r="A716" s="59"/>
      <c r="B716" s="59"/>
      <c r="C716" s="59"/>
      <c r="D716" s="59"/>
      <c r="E716" s="59"/>
      <c r="F716" s="64"/>
      <c r="G716" s="59"/>
      <c r="H716" s="56"/>
      <c r="I716" s="64"/>
      <c r="J716" s="56"/>
    </row>
    <row r="717" spans="1:10">
      <c r="A717" s="59"/>
      <c r="B717" s="59"/>
      <c r="C717" s="59"/>
      <c r="D717" s="59"/>
      <c r="E717" s="59"/>
      <c r="F717" s="64"/>
      <c r="G717" s="59"/>
      <c r="H717" s="56"/>
      <c r="I717" s="64"/>
      <c r="J717" s="56"/>
    </row>
    <row r="718" spans="1:10">
      <c r="A718" s="59"/>
      <c r="B718" s="59"/>
      <c r="C718" s="59"/>
      <c r="D718" s="59"/>
      <c r="E718" s="59"/>
      <c r="F718" s="64"/>
      <c r="G718" s="59"/>
      <c r="H718" s="56"/>
      <c r="I718" s="64"/>
      <c r="J718" s="56"/>
    </row>
    <row r="719" spans="1:10">
      <c r="A719" s="59"/>
      <c r="B719" s="59"/>
      <c r="C719" s="59"/>
      <c r="D719" s="59"/>
      <c r="E719" s="59"/>
      <c r="F719" s="64"/>
      <c r="G719" s="59"/>
      <c r="H719" s="56"/>
      <c r="I719" s="64"/>
      <c r="J719" s="56"/>
    </row>
    <row r="720" spans="1:10">
      <c r="A720" s="59"/>
      <c r="B720" s="59"/>
      <c r="C720" s="59"/>
      <c r="D720" s="59"/>
      <c r="E720" s="59"/>
      <c r="F720" s="64"/>
      <c r="G720" s="59"/>
      <c r="H720" s="56"/>
      <c r="I720" s="64"/>
      <c r="J720" s="56"/>
    </row>
    <row r="721" spans="1:10">
      <c r="A721" s="59"/>
      <c r="B721" s="59"/>
      <c r="C721" s="59"/>
      <c r="D721" s="59"/>
      <c r="E721" s="59"/>
      <c r="F721" s="64"/>
      <c r="G721" s="59"/>
      <c r="H721" s="56"/>
      <c r="I721" s="64"/>
      <c r="J721" s="56"/>
    </row>
    <row r="722" spans="1:10">
      <c r="A722" s="59"/>
      <c r="B722" s="59"/>
      <c r="C722" s="59"/>
      <c r="D722" s="59"/>
      <c r="E722" s="59"/>
      <c r="F722" s="64"/>
      <c r="G722" s="59"/>
      <c r="H722" s="56"/>
      <c r="I722" s="64"/>
      <c r="J722" s="56"/>
    </row>
    <row r="723" spans="1:10">
      <c r="A723" s="59"/>
      <c r="B723" s="59"/>
      <c r="C723" s="59"/>
      <c r="D723" s="59"/>
      <c r="E723" s="59"/>
      <c r="F723" s="64"/>
      <c r="G723" s="59"/>
      <c r="H723" s="56"/>
      <c r="I723" s="64"/>
      <c r="J723" s="56"/>
    </row>
    <row r="724" spans="1:10">
      <c r="A724" s="59"/>
      <c r="B724" s="59"/>
      <c r="C724" s="59"/>
      <c r="D724" s="59"/>
      <c r="E724" s="59"/>
      <c r="F724" s="64"/>
      <c r="G724" s="59"/>
      <c r="H724" s="56"/>
      <c r="I724" s="64"/>
      <c r="J724" s="56"/>
    </row>
    <row r="725" spans="1:10">
      <c r="A725" s="59"/>
      <c r="B725" s="59"/>
      <c r="C725" s="59"/>
      <c r="D725" s="59"/>
      <c r="E725" s="59"/>
      <c r="F725" s="64"/>
      <c r="G725" s="59"/>
      <c r="H725" s="56"/>
      <c r="I725" s="64"/>
      <c r="J725" s="56"/>
    </row>
    <row r="726" spans="1:10">
      <c r="A726" s="59"/>
      <c r="B726" s="59"/>
      <c r="C726" s="59"/>
      <c r="D726" s="59"/>
      <c r="E726" s="59"/>
      <c r="F726" s="64"/>
      <c r="G726" s="59"/>
      <c r="H726" s="56"/>
      <c r="I726" s="64"/>
      <c r="J726" s="56"/>
    </row>
    <row r="727" spans="1:10">
      <c r="A727" s="59"/>
      <c r="B727" s="59"/>
      <c r="C727" s="59"/>
      <c r="D727" s="59"/>
      <c r="E727" s="59"/>
      <c r="F727" s="64"/>
      <c r="G727" s="59"/>
      <c r="H727" s="56"/>
      <c r="I727" s="64"/>
      <c r="J727" s="56"/>
    </row>
    <row r="728" spans="1:10">
      <c r="A728" s="59"/>
      <c r="B728" s="59"/>
      <c r="C728" s="59"/>
      <c r="D728" s="59"/>
      <c r="E728" s="59"/>
      <c r="F728" s="64"/>
      <c r="G728" s="59"/>
      <c r="H728" s="56"/>
      <c r="I728" s="64"/>
      <c r="J728" s="56"/>
    </row>
    <row r="729" spans="1:10">
      <c r="A729" s="59"/>
      <c r="B729" s="59"/>
      <c r="C729" s="59"/>
      <c r="D729" s="59"/>
      <c r="E729" s="59"/>
      <c r="F729" s="64"/>
      <c r="G729" s="59"/>
      <c r="H729" s="56"/>
      <c r="I729" s="64"/>
      <c r="J729" s="56"/>
    </row>
    <row r="730" spans="1:10">
      <c r="A730" s="59"/>
      <c r="B730" s="59"/>
      <c r="C730" s="59"/>
      <c r="D730" s="59"/>
      <c r="E730" s="59"/>
      <c r="F730" s="64"/>
      <c r="G730" s="59"/>
      <c r="H730" s="56"/>
      <c r="I730" s="64"/>
      <c r="J730" s="56"/>
    </row>
    <row r="731" spans="1:10">
      <c r="A731" s="59"/>
      <c r="B731" s="59"/>
      <c r="C731" s="59"/>
      <c r="D731" s="59"/>
      <c r="E731" s="59"/>
      <c r="F731" s="64"/>
      <c r="G731" s="59"/>
      <c r="H731" s="56"/>
      <c r="I731" s="64"/>
      <c r="J731" s="56"/>
    </row>
    <row r="732" spans="1:10">
      <c r="A732" s="59"/>
      <c r="B732" s="59"/>
      <c r="C732" s="59"/>
      <c r="D732" s="59"/>
      <c r="E732" s="59"/>
      <c r="F732" s="64"/>
      <c r="G732" s="59"/>
      <c r="H732" s="56"/>
      <c r="I732" s="64"/>
      <c r="J732" s="56"/>
    </row>
    <row r="733" spans="1:10">
      <c r="A733" s="59"/>
      <c r="B733" s="59"/>
      <c r="C733" s="59"/>
      <c r="D733" s="59"/>
      <c r="E733" s="59"/>
      <c r="F733" s="64"/>
      <c r="G733" s="59"/>
      <c r="H733" s="56"/>
      <c r="I733" s="64"/>
      <c r="J733" s="56"/>
    </row>
    <row r="734" spans="1:10">
      <c r="A734" s="59"/>
      <c r="B734" s="59"/>
      <c r="C734" s="59"/>
      <c r="D734" s="59"/>
      <c r="E734" s="59"/>
      <c r="F734" s="64"/>
      <c r="G734" s="59"/>
      <c r="H734" s="56"/>
      <c r="I734" s="64"/>
      <c r="J734" s="56"/>
    </row>
    <row r="735" spans="1:10">
      <c r="A735" s="59"/>
      <c r="B735" s="59"/>
      <c r="C735" s="59"/>
      <c r="D735" s="59"/>
      <c r="E735" s="59"/>
      <c r="F735" s="64"/>
      <c r="G735" s="59"/>
      <c r="H735" s="56"/>
      <c r="I735" s="64"/>
      <c r="J735" s="56"/>
    </row>
    <row r="736" spans="1:10">
      <c r="A736" s="59"/>
      <c r="B736" s="59"/>
      <c r="C736" s="59"/>
      <c r="D736" s="59"/>
      <c r="E736" s="59"/>
      <c r="F736" s="64"/>
      <c r="G736" s="59"/>
      <c r="H736" s="56"/>
      <c r="I736" s="64"/>
      <c r="J736" s="56"/>
    </row>
    <row r="737" spans="1:10">
      <c r="A737" s="59"/>
      <c r="B737" s="59"/>
      <c r="C737" s="59"/>
      <c r="D737" s="59"/>
      <c r="E737" s="59"/>
      <c r="F737" s="64"/>
      <c r="G737" s="59"/>
      <c r="H737" s="56"/>
      <c r="I737" s="64"/>
      <c r="J737" s="56"/>
    </row>
    <row r="738" spans="1:10">
      <c r="A738" s="59"/>
      <c r="B738" s="59"/>
      <c r="C738" s="59"/>
      <c r="D738" s="59"/>
      <c r="E738" s="59"/>
      <c r="F738" s="64"/>
      <c r="G738" s="59"/>
      <c r="H738" s="56"/>
      <c r="I738" s="64"/>
      <c r="J738" s="56"/>
    </row>
    <row r="739" spans="1:10">
      <c r="A739" s="59"/>
      <c r="B739" s="59"/>
      <c r="C739" s="59"/>
      <c r="D739" s="59"/>
      <c r="E739" s="59"/>
      <c r="F739" s="64"/>
      <c r="G739" s="59"/>
      <c r="H739" s="56"/>
      <c r="I739" s="64"/>
      <c r="J739" s="56"/>
    </row>
    <row r="740" spans="1:10">
      <c r="A740" s="59"/>
      <c r="B740" s="59"/>
      <c r="C740" s="59"/>
      <c r="D740" s="59"/>
      <c r="E740" s="59"/>
      <c r="F740" s="64"/>
      <c r="G740" s="59"/>
      <c r="H740" s="56"/>
      <c r="I740" s="64"/>
      <c r="J740" s="56"/>
    </row>
    <row r="741" spans="1:10">
      <c r="A741" s="59"/>
      <c r="B741" s="59"/>
      <c r="C741" s="59"/>
      <c r="D741" s="59"/>
      <c r="E741" s="59"/>
      <c r="F741" s="64"/>
      <c r="G741" s="59"/>
      <c r="H741" s="56"/>
      <c r="I741" s="64"/>
      <c r="J741" s="56"/>
    </row>
    <row r="742" spans="1:10">
      <c r="A742" s="59"/>
      <c r="B742" s="59"/>
      <c r="C742" s="59"/>
      <c r="D742" s="59"/>
      <c r="E742" s="59"/>
      <c r="F742" s="64"/>
      <c r="G742" s="59"/>
      <c r="H742" s="56"/>
      <c r="I742" s="64"/>
      <c r="J742" s="56"/>
    </row>
    <row r="743" spans="1:10">
      <c r="A743" s="59"/>
      <c r="B743" s="59"/>
      <c r="C743" s="59"/>
      <c r="D743" s="59"/>
      <c r="E743" s="59"/>
      <c r="F743" s="64"/>
      <c r="G743" s="59"/>
      <c r="H743" s="56"/>
      <c r="I743" s="64"/>
      <c r="J743" s="56"/>
    </row>
    <row r="744" spans="1:10">
      <c r="A744" s="59"/>
      <c r="B744" s="59"/>
      <c r="C744" s="59"/>
      <c r="D744" s="59"/>
      <c r="E744" s="59"/>
      <c r="F744" s="64"/>
      <c r="G744" s="59"/>
      <c r="H744" s="56"/>
      <c r="I744" s="64"/>
      <c r="J744" s="56"/>
    </row>
    <row r="745" spans="1:10">
      <c r="A745" s="59"/>
      <c r="B745" s="59"/>
      <c r="C745" s="59"/>
      <c r="D745" s="59"/>
      <c r="E745" s="59"/>
      <c r="F745" s="64"/>
      <c r="G745" s="59"/>
      <c r="H745" s="56"/>
      <c r="I745" s="64"/>
      <c r="J745" s="56"/>
    </row>
    <row r="746" spans="1:10">
      <c r="A746" s="59"/>
      <c r="B746" s="59"/>
      <c r="C746" s="59"/>
      <c r="D746" s="59"/>
      <c r="E746" s="59"/>
      <c r="F746" s="64"/>
      <c r="G746" s="59"/>
      <c r="H746" s="56"/>
      <c r="I746" s="64"/>
      <c r="J746" s="56"/>
    </row>
    <row r="747" spans="1:10">
      <c r="A747" s="59"/>
      <c r="B747" s="59"/>
      <c r="C747" s="59"/>
      <c r="D747" s="59"/>
      <c r="E747" s="59"/>
      <c r="F747" s="64"/>
      <c r="G747" s="59"/>
      <c r="H747" s="56"/>
      <c r="I747" s="64"/>
      <c r="J747" s="56"/>
    </row>
    <row r="748" spans="1:10">
      <c r="A748" s="59"/>
      <c r="B748" s="59"/>
      <c r="C748" s="59"/>
      <c r="D748" s="59"/>
      <c r="E748" s="59"/>
      <c r="F748" s="64"/>
      <c r="G748" s="59"/>
      <c r="H748" s="56"/>
      <c r="I748" s="64"/>
      <c r="J748" s="56"/>
    </row>
    <row r="749" spans="1:10">
      <c r="A749" s="59"/>
      <c r="B749" s="59"/>
      <c r="C749" s="59"/>
      <c r="D749" s="59"/>
      <c r="E749" s="59"/>
      <c r="F749" s="64"/>
      <c r="G749" s="59"/>
      <c r="H749" s="56"/>
      <c r="I749" s="64"/>
      <c r="J749" s="56"/>
    </row>
    <row r="750" spans="1:10">
      <c r="A750" s="59"/>
      <c r="B750" s="59"/>
      <c r="C750" s="59"/>
      <c r="D750" s="59"/>
      <c r="E750" s="59"/>
      <c r="F750" s="64"/>
      <c r="G750" s="59"/>
      <c r="H750" s="56"/>
      <c r="I750" s="64"/>
      <c r="J750" s="56"/>
    </row>
    <row r="751" spans="1:10">
      <c r="A751" s="59"/>
      <c r="B751" s="59"/>
      <c r="C751" s="59"/>
      <c r="D751" s="59"/>
      <c r="E751" s="59"/>
      <c r="F751" s="64"/>
      <c r="G751" s="59"/>
      <c r="H751" s="56"/>
      <c r="I751" s="64"/>
      <c r="J751" s="56"/>
    </row>
    <row r="752" spans="1:10">
      <c r="A752" s="59"/>
      <c r="B752" s="59"/>
      <c r="C752" s="59"/>
      <c r="D752" s="59"/>
      <c r="E752" s="59"/>
      <c r="F752" s="64"/>
      <c r="G752" s="59"/>
      <c r="H752" s="56"/>
      <c r="I752" s="64"/>
      <c r="J752" s="56"/>
    </row>
    <row r="753" spans="1:10">
      <c r="A753" s="59"/>
      <c r="B753" s="59"/>
      <c r="C753" s="59"/>
      <c r="D753" s="59"/>
      <c r="E753" s="59"/>
      <c r="F753" s="64"/>
      <c r="G753" s="59"/>
      <c r="H753" s="56"/>
      <c r="I753" s="64"/>
      <c r="J753" s="56"/>
    </row>
    <row r="754" spans="1:10">
      <c r="A754" s="59"/>
      <c r="B754" s="59"/>
      <c r="C754" s="59"/>
      <c r="D754" s="59"/>
      <c r="E754" s="59"/>
      <c r="F754" s="64"/>
      <c r="G754" s="59"/>
      <c r="H754" s="56"/>
      <c r="I754" s="64"/>
      <c r="J754" s="56"/>
    </row>
    <row r="755" spans="1:10">
      <c r="A755" s="59"/>
      <c r="B755" s="59"/>
      <c r="C755" s="59"/>
      <c r="D755" s="59"/>
      <c r="E755" s="59"/>
      <c r="F755" s="64"/>
      <c r="G755" s="59"/>
      <c r="H755" s="56"/>
      <c r="I755" s="64"/>
      <c r="J755" s="56"/>
    </row>
    <row r="756" spans="1:10">
      <c r="A756" s="59"/>
      <c r="B756" s="59"/>
      <c r="C756" s="59"/>
      <c r="D756" s="59"/>
      <c r="E756" s="59"/>
      <c r="F756" s="64"/>
      <c r="G756" s="59"/>
      <c r="H756" s="56"/>
      <c r="I756" s="64"/>
      <c r="J756" s="56"/>
    </row>
    <row r="757" spans="1:10">
      <c r="A757" s="59"/>
      <c r="B757" s="59"/>
      <c r="C757" s="59"/>
      <c r="D757" s="59"/>
      <c r="E757" s="59"/>
      <c r="F757" s="64"/>
      <c r="G757" s="59"/>
      <c r="H757" s="56"/>
      <c r="I757" s="64"/>
      <c r="J757" s="56"/>
    </row>
    <row r="758" spans="1:10">
      <c r="A758" s="59"/>
      <c r="B758" s="59"/>
      <c r="C758" s="59"/>
      <c r="D758" s="59"/>
      <c r="E758" s="59"/>
      <c r="F758" s="64"/>
      <c r="G758" s="59"/>
      <c r="H758" s="56"/>
      <c r="I758" s="64"/>
      <c r="J758" s="56"/>
    </row>
    <row r="759" spans="1:10">
      <c r="A759" s="59"/>
      <c r="B759" s="59"/>
      <c r="C759" s="59"/>
      <c r="D759" s="59"/>
      <c r="E759" s="59"/>
      <c r="F759" s="64"/>
      <c r="G759" s="59"/>
      <c r="H759" s="56"/>
      <c r="I759" s="64"/>
      <c r="J759" s="56"/>
    </row>
    <row r="760" spans="1:10">
      <c r="A760" s="59"/>
      <c r="B760" s="59"/>
      <c r="C760" s="59"/>
      <c r="D760" s="59"/>
      <c r="E760" s="59"/>
      <c r="F760" s="64"/>
      <c r="G760" s="59"/>
      <c r="H760" s="56"/>
      <c r="I760" s="64"/>
      <c r="J760" s="56"/>
    </row>
    <row r="761" spans="1:10">
      <c r="A761" s="59"/>
      <c r="B761" s="59"/>
      <c r="C761" s="59"/>
      <c r="D761" s="59"/>
      <c r="E761" s="59"/>
      <c r="F761" s="64"/>
      <c r="G761" s="59"/>
      <c r="H761" s="56"/>
      <c r="I761" s="64"/>
      <c r="J761" s="56"/>
    </row>
    <row r="762" spans="1:10">
      <c r="A762" s="59"/>
      <c r="B762" s="59"/>
      <c r="C762" s="59"/>
      <c r="D762" s="59"/>
      <c r="E762" s="59"/>
      <c r="F762" s="64"/>
      <c r="G762" s="59"/>
      <c r="H762" s="56"/>
      <c r="I762" s="64"/>
      <c r="J762" s="56"/>
    </row>
    <row r="763" spans="1:10">
      <c r="A763" s="59"/>
      <c r="B763" s="59"/>
      <c r="C763" s="59"/>
      <c r="D763" s="59"/>
      <c r="E763" s="59"/>
      <c r="F763" s="64"/>
      <c r="G763" s="59"/>
      <c r="H763" s="56"/>
      <c r="I763" s="64"/>
      <c r="J763" s="56"/>
    </row>
    <row r="764" spans="1:10">
      <c r="A764" s="59"/>
      <c r="B764" s="59"/>
      <c r="C764" s="59"/>
      <c r="D764" s="59"/>
      <c r="E764" s="59"/>
      <c r="F764" s="64"/>
      <c r="G764" s="59"/>
      <c r="H764" s="56"/>
      <c r="I764" s="64"/>
      <c r="J764" s="56"/>
    </row>
    <row r="765" spans="1:10">
      <c r="A765" s="59"/>
      <c r="B765" s="59"/>
      <c r="C765" s="59"/>
      <c r="D765" s="59"/>
      <c r="E765" s="59"/>
      <c r="F765" s="64"/>
      <c r="G765" s="59"/>
      <c r="H765" s="56"/>
      <c r="I765" s="64"/>
      <c r="J765" s="56"/>
    </row>
    <row r="766" spans="1:10">
      <c r="A766" s="59"/>
      <c r="B766" s="59"/>
      <c r="C766" s="59"/>
      <c r="D766" s="59"/>
      <c r="E766" s="59"/>
      <c r="F766" s="64"/>
      <c r="G766" s="59"/>
      <c r="H766" s="56"/>
      <c r="I766" s="64"/>
      <c r="J766" s="56"/>
    </row>
    <row r="767" spans="1:10">
      <c r="A767" s="59"/>
      <c r="B767" s="59"/>
      <c r="C767" s="59"/>
      <c r="D767" s="59"/>
      <c r="E767" s="59"/>
      <c r="F767" s="64"/>
      <c r="G767" s="59"/>
      <c r="H767" s="56"/>
      <c r="I767" s="64"/>
      <c r="J767" s="56"/>
    </row>
    <row r="768" spans="1:10">
      <c r="A768" s="59"/>
      <c r="B768" s="59"/>
      <c r="C768" s="59"/>
      <c r="D768" s="59"/>
      <c r="E768" s="59"/>
      <c r="F768" s="64"/>
      <c r="G768" s="59"/>
      <c r="H768" s="56"/>
      <c r="I768" s="64"/>
      <c r="J768" s="56"/>
    </row>
    <row r="769" spans="1:10">
      <c r="A769" s="59"/>
      <c r="B769" s="59"/>
      <c r="C769" s="59"/>
      <c r="D769" s="59"/>
      <c r="E769" s="59"/>
      <c r="F769" s="64"/>
      <c r="G769" s="59"/>
      <c r="H769" s="56"/>
      <c r="I769" s="64"/>
      <c r="J769" s="56"/>
    </row>
    <row r="770" spans="1:10">
      <c r="A770" s="59"/>
      <c r="B770" s="59"/>
      <c r="C770" s="59"/>
      <c r="D770" s="59"/>
      <c r="E770" s="59"/>
      <c r="F770" s="64"/>
      <c r="G770" s="59"/>
      <c r="H770" s="56"/>
      <c r="I770" s="64"/>
      <c r="J770" s="56"/>
    </row>
    <row r="771" spans="1:10">
      <c r="A771" s="59"/>
      <c r="B771" s="59"/>
      <c r="C771" s="59"/>
      <c r="D771" s="59"/>
      <c r="E771" s="59"/>
      <c r="F771" s="64"/>
      <c r="G771" s="59"/>
      <c r="H771" s="56"/>
      <c r="I771" s="64"/>
      <c r="J771" s="56"/>
    </row>
    <row r="772" spans="1:10">
      <c r="A772" s="59"/>
      <c r="B772" s="59"/>
      <c r="C772" s="59"/>
      <c r="D772" s="59"/>
      <c r="E772" s="59"/>
      <c r="F772" s="64"/>
      <c r="G772" s="59"/>
      <c r="H772" s="56"/>
      <c r="I772" s="64"/>
      <c r="J772" s="56"/>
    </row>
    <row r="773" spans="1:10">
      <c r="A773" s="59"/>
      <c r="B773" s="59"/>
      <c r="C773" s="59"/>
      <c r="D773" s="59"/>
      <c r="E773" s="59"/>
      <c r="F773" s="64"/>
      <c r="G773" s="59"/>
      <c r="H773" s="56"/>
      <c r="I773" s="64"/>
      <c r="J773" s="56"/>
    </row>
    <row r="774" spans="1:10">
      <c r="A774" s="59"/>
      <c r="B774" s="59"/>
      <c r="C774" s="59"/>
      <c r="D774" s="59"/>
      <c r="E774" s="59"/>
      <c r="F774" s="64"/>
      <c r="G774" s="59"/>
      <c r="H774" s="56"/>
      <c r="I774" s="64"/>
      <c r="J774" s="56"/>
    </row>
    <row r="775" spans="1:10">
      <c r="A775" s="59"/>
      <c r="B775" s="59"/>
      <c r="C775" s="59"/>
      <c r="D775" s="59"/>
      <c r="E775" s="59"/>
      <c r="F775" s="64"/>
      <c r="G775" s="59"/>
      <c r="H775" s="56"/>
      <c r="I775" s="64"/>
      <c r="J775" s="56"/>
    </row>
    <row r="776" spans="1:10">
      <c r="A776" s="59"/>
      <c r="B776" s="59"/>
      <c r="C776" s="59"/>
      <c r="D776" s="59"/>
      <c r="E776" s="59"/>
      <c r="F776" s="64"/>
      <c r="G776" s="59"/>
      <c r="H776" s="56"/>
      <c r="I776" s="64"/>
      <c r="J776" s="56"/>
    </row>
    <row r="777" spans="1:10">
      <c r="A777" s="59"/>
      <c r="B777" s="59"/>
      <c r="C777" s="59"/>
      <c r="D777" s="59"/>
      <c r="E777" s="59"/>
      <c r="F777" s="64"/>
      <c r="G777" s="59"/>
      <c r="H777" s="56"/>
      <c r="I777" s="64"/>
      <c r="J777" s="56"/>
    </row>
    <row r="778" spans="1:10">
      <c r="A778" s="59"/>
      <c r="B778" s="59"/>
      <c r="C778" s="59"/>
      <c r="D778" s="59"/>
      <c r="E778" s="59"/>
      <c r="F778" s="64"/>
      <c r="G778" s="59"/>
      <c r="H778" s="56"/>
      <c r="I778" s="64"/>
      <c r="J778" s="56"/>
    </row>
    <row r="779" spans="1:10">
      <c r="A779" s="59"/>
      <c r="B779" s="59"/>
      <c r="C779" s="59"/>
      <c r="D779" s="59"/>
      <c r="E779" s="59"/>
      <c r="F779" s="64"/>
      <c r="G779" s="59"/>
      <c r="H779" s="56"/>
      <c r="I779" s="64"/>
      <c r="J779" s="56"/>
    </row>
    <row r="780" spans="1:10">
      <c r="A780" s="59"/>
      <c r="B780" s="59"/>
      <c r="C780" s="59"/>
      <c r="D780" s="59"/>
      <c r="E780" s="59"/>
      <c r="F780" s="64"/>
      <c r="G780" s="59"/>
      <c r="H780" s="56"/>
      <c r="I780" s="64"/>
      <c r="J780" s="56"/>
    </row>
    <row r="781" spans="1:10">
      <c r="A781" s="59"/>
      <c r="B781" s="59"/>
      <c r="C781" s="59"/>
      <c r="D781" s="59"/>
      <c r="E781" s="59"/>
      <c r="F781" s="64"/>
      <c r="G781" s="59"/>
      <c r="H781" s="56"/>
      <c r="I781" s="64"/>
      <c r="J781" s="56"/>
    </row>
    <row r="782" spans="1:10">
      <c r="A782" s="59"/>
      <c r="B782" s="59"/>
      <c r="C782" s="59"/>
      <c r="D782" s="59"/>
      <c r="E782" s="59"/>
      <c r="F782" s="64"/>
      <c r="G782" s="59"/>
      <c r="H782" s="56"/>
      <c r="I782" s="64"/>
      <c r="J782" s="56"/>
    </row>
    <row r="783" spans="1:10">
      <c r="A783" s="59"/>
      <c r="B783" s="59"/>
      <c r="C783" s="59"/>
      <c r="D783" s="59"/>
      <c r="E783" s="59"/>
      <c r="F783" s="64"/>
      <c r="G783" s="59"/>
      <c r="H783" s="56"/>
      <c r="I783" s="64"/>
      <c r="J783" s="56"/>
    </row>
    <row r="784" spans="1:10">
      <c r="A784" s="59"/>
      <c r="B784" s="59"/>
      <c r="C784" s="59"/>
      <c r="D784" s="59"/>
      <c r="E784" s="59"/>
      <c r="F784" s="64"/>
      <c r="G784" s="59"/>
      <c r="H784" s="56"/>
      <c r="I784" s="64"/>
      <c r="J784" s="56"/>
    </row>
    <row r="785" spans="1:10">
      <c r="A785" s="59"/>
      <c r="B785" s="59"/>
      <c r="C785" s="59"/>
      <c r="D785" s="59"/>
      <c r="E785" s="59"/>
      <c r="F785" s="64"/>
      <c r="G785" s="59"/>
      <c r="H785" s="56"/>
      <c r="I785" s="64"/>
      <c r="J785" s="56"/>
    </row>
    <row r="786" spans="1:10">
      <c r="A786" s="59"/>
      <c r="B786" s="59"/>
      <c r="C786" s="59"/>
      <c r="D786" s="59"/>
      <c r="E786" s="59"/>
      <c r="F786" s="64"/>
      <c r="G786" s="59"/>
      <c r="H786" s="56"/>
      <c r="I786" s="64"/>
      <c r="J786" s="56"/>
    </row>
    <row r="787" spans="1:10">
      <c r="A787" s="59"/>
      <c r="B787" s="59"/>
      <c r="C787" s="59"/>
      <c r="D787" s="59"/>
      <c r="E787" s="59"/>
      <c r="F787" s="64"/>
      <c r="G787" s="59"/>
      <c r="H787" s="56"/>
      <c r="I787" s="64"/>
      <c r="J787" s="56"/>
    </row>
    <row r="788" spans="1:10">
      <c r="A788" s="59"/>
      <c r="B788" s="59"/>
      <c r="C788" s="59"/>
      <c r="D788" s="59"/>
      <c r="E788" s="59"/>
      <c r="F788" s="64"/>
      <c r="G788" s="59"/>
      <c r="H788" s="56"/>
      <c r="I788" s="64"/>
      <c r="J788" s="56"/>
    </row>
    <row r="789" spans="1:10">
      <c r="A789" s="59"/>
      <c r="B789" s="59"/>
      <c r="C789" s="59"/>
      <c r="D789" s="59"/>
      <c r="E789" s="59"/>
      <c r="F789" s="64"/>
      <c r="G789" s="59"/>
      <c r="H789" s="56"/>
      <c r="I789" s="64"/>
      <c r="J789" s="56"/>
    </row>
    <row r="790" spans="1:10">
      <c r="A790" s="59"/>
      <c r="B790" s="59"/>
      <c r="C790" s="59"/>
      <c r="D790" s="59"/>
      <c r="E790" s="59"/>
      <c r="F790" s="64"/>
      <c r="G790" s="59"/>
      <c r="H790" s="56"/>
      <c r="I790" s="64"/>
      <c r="J790" s="56"/>
    </row>
    <row r="791" spans="1:10">
      <c r="A791" s="59"/>
      <c r="B791" s="59"/>
      <c r="C791" s="59"/>
      <c r="D791" s="59"/>
      <c r="E791" s="59"/>
      <c r="F791" s="64"/>
      <c r="G791" s="59"/>
      <c r="H791" s="56"/>
      <c r="I791" s="64"/>
      <c r="J791" s="56"/>
    </row>
  </sheetData>
  <autoFilter ref="A1:J599" xr:uid="{C9274A5B-E797-4DE9-973D-DA8904B6077A}">
    <sortState xmlns:xlrd2="http://schemas.microsoft.com/office/spreadsheetml/2017/richdata2" ref="A2:J599">
      <sortCondition ref="E1:E599"/>
    </sortState>
  </autoFilter>
  <pageMargins left="0.7" right="0.7" top="0.75" bottom="0.75" header="0.3" footer="0.3"/>
  <pageSetup paperSize="17" scale="69" fitToHeight="0" orientation="landscape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46d6d3d-3bb2-42fa-9bb1-ba452091800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0C2E79BBAB8B478BEE7B6BB2219F5A" ma:contentTypeVersion="5" ma:contentTypeDescription="Create a new document." ma:contentTypeScope="" ma:versionID="e1e3157b7920b2074d44e6c9d3e56d96">
  <xsd:schema xmlns:xsd="http://www.w3.org/2001/XMLSchema" xmlns:xs="http://www.w3.org/2001/XMLSchema" xmlns:p="http://schemas.microsoft.com/office/2006/metadata/properties" xmlns:ns3="146d6d3d-3bb2-42fa-9bb1-ba4520918002" targetNamespace="http://schemas.microsoft.com/office/2006/metadata/properties" ma:root="true" ma:fieldsID="4f601257f3e0dda4e553f144fa47d5a8" ns3:_="">
    <xsd:import namespace="146d6d3d-3bb2-42fa-9bb1-ba452091800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6d6d3d-3bb2-42fa-9bb1-ba452091800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08758A-9BB3-42F2-9832-D074ABB8E323}">
  <ds:schemaRefs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schemas.microsoft.com/office/2006/documentManagement/types"/>
    <ds:schemaRef ds:uri="146d6d3d-3bb2-42fa-9bb1-ba4520918002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3E36B214-AB3F-4865-A793-202DB97E9BD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544E73-A4E3-4366-980C-48EF926BC2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6d6d3d-3bb2-42fa-9bb1-ba45209180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Instrumentation Cables</vt:lpstr>
      <vt:lpstr>Cables Tables</vt:lpstr>
      <vt:lpstr>Conduit Fittings</vt:lpstr>
      <vt:lpstr>Conduit Tables</vt:lpstr>
      <vt:lpstr>EPICOR ELECTRIC PARTS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K. Perry</dc:creator>
  <cp:lastModifiedBy>Robert K. Perry</cp:lastModifiedBy>
  <cp:lastPrinted>2026-07-29T15:02:48Z</cp:lastPrinted>
  <dcterms:created xsi:type="dcterms:W3CDTF">2026-05-05T17:32:20Z</dcterms:created>
  <dcterms:modified xsi:type="dcterms:W3CDTF">2026-10-14T15:58:10Z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0x0101007C0C2E79BBAB8B478BEE7B6BB2219F5A</vt:lpwstr>
  </property>
</Properties>
</file>